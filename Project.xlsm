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3.xml" ContentType="application/vnd.openxmlformats-officedocument.drawing+xml"/>
  <Override PartName="/xl/activeX/activeX5.xml" ContentType="application/vnd.ms-office.activeX+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activeX/activeX6.xml" ContentType="application/vnd.ms-office.activeX+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Ex3.xml" ContentType="application/vnd.ms-office.chartex+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4.bin" ContentType="application/vnd.openxmlformats-officedocument.spreadsheetml.printerSettings"/>
  <Override PartName="/xl/drawings/drawing9.xml" ContentType="application/vnd.openxmlformats-officedocument.drawing+xml"/>
  <Override PartName="/xl/activeX/activeX7.xml" ContentType="application/vnd.ms-office.activeX+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updateLinks="never" codeName="ThisWorkbook" hidePivotFieldList="1"/>
  <mc:AlternateContent xmlns:mc="http://schemas.openxmlformats.org/markup-compatibility/2006">
    <mc:Choice Requires="x15">
      <x15ac:absPath xmlns:x15ac="http://schemas.microsoft.com/office/spreadsheetml/2010/11/ac" url="C:\Users\User\Desktop\BWA 2023-2024 SEM 1\EXCEL\Project\"/>
    </mc:Choice>
  </mc:AlternateContent>
  <xr:revisionPtr revIDLastSave="0" documentId="13_ncr:1_{B7C05E88-1A61-4303-B14E-954074974EF7}" xr6:coauthVersionLast="47" xr6:coauthVersionMax="47" xr10:uidLastSave="{00000000-0000-0000-0000-000000000000}"/>
  <workbookProtection workbookAlgorithmName="SHA-512" workbookHashValue="8igyBDUeh3RRSyedu7a2eWtt2mk/HUb5D47RZexFWJKIAt/tYYF5koV1Eg1JigrDxTJeJfmoO/w8NK7p5kljng==" workbookSaltValue="hk3nukB9o2yhWIaPj1nVpA==" workbookSpinCount="100000" lockStructure="1"/>
  <bookViews>
    <workbookView showSheetTabs="0" xWindow="-108" yWindow="-108" windowWidth="23256" windowHeight="12456" activeTab="3" xr2:uid="{55E57A39-F291-4EF7-860F-A3BB3BD67E77}"/>
  </bookViews>
  <sheets>
    <sheet name="Home" sheetId="13" r:id="rId1"/>
    <sheet name="Tax Summary" sheetId="8" r:id="rId2"/>
    <sheet name="Tax Report Calculator" sheetId="7" r:id="rId3"/>
    <sheet name="Categories (All)" sheetId="1" r:id="rId4"/>
    <sheet name="Expenses (2023)" sheetId="10" r:id="rId5"/>
    <sheet name="Dashboard (Expenses)" sheetId="12" r:id="rId6"/>
    <sheet name="Pivot Tables" sheetId="11" r:id="rId7"/>
    <sheet name="Categories (expenses)" sheetId="2" r:id="rId8"/>
    <sheet name="Categories (Toggle)" sheetId="3" r:id="rId9"/>
    <sheet name="Tax Calculator" sheetId="4" r:id="rId10"/>
    <sheet name="Tables (Tax Relief)" sheetId="9" r:id="rId11"/>
    <sheet name="Input Form" sheetId="6" r:id="rId12"/>
  </sheets>
  <definedNames>
    <definedName name="age_difference">#REF!</definedName>
    <definedName name="Annual_withdrawal_rate" localSheetId="2">'Tax Report Calculator'!$O$61</definedName>
    <definedName name="Annual_withdrawal_rate">'Input Form'!$L$13</definedName>
    <definedName name="cash_from_downsize" localSheetId="2">'Tax Report Calculator'!$O$65</definedName>
    <definedName name="cash_from_downsize">'Input Form'!$L$17</definedName>
    <definedName name="Current_investment_portfolio" localSheetId="2">'Tax Report Calculator'!$G$65</definedName>
    <definedName name="Current_investment_portfolio">'Input Form'!$F$17</definedName>
    <definedName name="ExternalData_1" localSheetId="7" hidden="1">'Categories (expenses)'!$A$1:$E$21</definedName>
    <definedName name="ExternalData_1" localSheetId="8" hidden="1">'Categories (Toggle)'!$A$1:$D$9</definedName>
    <definedName name="ExternalData_2" localSheetId="9" hidden="1">'Tax Calculator'!$G$3:$H$12</definedName>
    <definedName name="min_retire_age" localSheetId="2">'Tax Report Calculator'!$E$90</definedName>
    <definedName name="min_retire_age">'Input Form'!$F$35</definedName>
    <definedName name="Portfolio_CAGR_Real">#REF!</definedName>
    <definedName name="Slicer_Category1">#N/A</definedName>
    <definedName name="Slicer_Month1">#N/A</definedName>
    <definedName name="Target_retirement_age" localSheetId="2">'Tax Report Calculator'!$O$60</definedName>
    <definedName name="Target_retirement_age">'Input Form'!$L$12</definedName>
    <definedName name="Tax_Deductions">Table7[#All]</definedName>
    <definedName name="TreeMapLabels">OFFSET('Pivot Tables'!$AI$3,,,COUNTA('Pivot Tables'!$AI:$AI)-1,1)</definedName>
    <definedName name="TreeMapList">OFFSET('Pivot Tables'!$Y$2,,,COUNTA('Pivot Tables'!$Y:$Y),1)</definedName>
    <definedName name="TreeMapValues">OFFSET('Pivot Tables'!$AJ$3,,,COUNTA('Pivot Tables'!$AJ:$AJ)-1,1)</definedName>
  </definedNames>
  <calcPr calcId="191029"/>
  <pivotCaches>
    <pivotCache cacheId="0" r:id="rId13"/>
    <pivotCache cacheId="1" r:id="rId14"/>
  </pivotCaches>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8" i="7" l="1"/>
  <c r="F2" i="2"/>
  <c r="F3" i="2" s="1"/>
  <c r="G2" i="2" a="1"/>
  <c r="G2" i="2" s="1"/>
  <c r="H2" i="2" s="1"/>
  <c r="G3" i="2" a="1"/>
  <c r="G3" i="2" s="1"/>
  <c r="H3" i="2" s="1"/>
  <c r="G4" i="2" a="1"/>
  <c r="G4" i="2" s="1"/>
  <c r="H4" i="2" s="1"/>
  <c r="G5" i="2" a="1"/>
  <c r="G5" i="2" s="1"/>
  <c r="H5" i="2" s="1"/>
  <c r="G6" i="2" a="1"/>
  <c r="G6" i="2" s="1"/>
  <c r="H6" i="2" s="1"/>
  <c r="G7" i="2" a="1"/>
  <c r="G7" i="2" s="1"/>
  <c r="H7" i="2" s="1"/>
  <c r="G8" i="2" a="1"/>
  <c r="G8" i="2" s="1"/>
  <c r="H8" i="2" s="1"/>
  <c r="G9" i="2" a="1"/>
  <c r="G9" i="2" s="1"/>
  <c r="H9" i="2" s="1"/>
  <c r="G10" i="2" a="1"/>
  <c r="G10" i="2" s="1"/>
  <c r="H10" i="2" s="1"/>
  <c r="G11" i="2" a="1"/>
  <c r="G11" i="2" s="1"/>
  <c r="H11" i="2" s="1"/>
  <c r="G12" i="2" a="1"/>
  <c r="G12" i="2" s="1"/>
  <c r="H12" i="2" s="1"/>
  <c r="G13" i="2" a="1"/>
  <c r="G13" i="2" s="1"/>
  <c r="H13" i="2" s="1"/>
  <c r="G14" i="2" a="1"/>
  <c r="G14" i="2" s="1"/>
  <c r="H14" i="2" s="1"/>
  <c r="G15" i="2" a="1"/>
  <c r="G15" i="2" s="1"/>
  <c r="H15" i="2" s="1"/>
  <c r="G16" i="2" a="1"/>
  <c r="G16" i="2" s="1"/>
  <c r="H16" i="2" s="1"/>
  <c r="G17" i="2" a="1"/>
  <c r="G17" i="2" s="1"/>
  <c r="H17" i="2" s="1"/>
  <c r="G18" i="2" a="1"/>
  <c r="G18" i="2" s="1"/>
  <c r="H18" i="2" s="1"/>
  <c r="G19" i="2" a="1"/>
  <c r="G19" i="2" s="1"/>
  <c r="H19" i="2" s="1"/>
  <c r="G20" i="2" a="1"/>
  <c r="G20" i="2" s="1"/>
  <c r="H20" i="2" s="1"/>
  <c r="G21" i="2" a="1"/>
  <c r="G21" i="2" s="1"/>
  <c r="H21" i="2" s="1"/>
  <c r="I5" i="2"/>
  <c r="I7" i="2"/>
  <c r="I8" i="2"/>
  <c r="I9" i="2"/>
  <c r="D2" i="1"/>
  <c r="G63" i="7"/>
  <c r="F4" i="2" l="1"/>
  <c r="AA3" i="11" a="1"/>
  <c r="AA3" i="11" s="1"/>
  <c r="F5" i="2" l="1"/>
  <c r="I4" i="12"/>
  <c r="G4" i="12"/>
  <c r="E4" i="12"/>
  <c r="F6" i="2" l="1"/>
  <c r="AL3" i="11"/>
  <c r="K35" i="11"/>
  <c r="K36" i="11"/>
  <c r="K37" i="11"/>
  <c r="K38" i="11"/>
  <c r="K39" i="11"/>
  <c r="K40" i="11"/>
  <c r="K41" i="11"/>
  <c r="K42" i="11"/>
  <c r="K43" i="11"/>
  <c r="K44" i="11"/>
  <c r="K45" i="11"/>
  <c r="K46" i="11"/>
  <c r="K47" i="11"/>
  <c r="K48" i="11"/>
  <c r="K49" i="11"/>
  <c r="M35" i="11"/>
  <c r="M36" i="11"/>
  <c r="M37" i="11"/>
  <c r="M38" i="11"/>
  <c r="M39" i="11"/>
  <c r="M40" i="11"/>
  <c r="M41" i="11"/>
  <c r="M42" i="11"/>
  <c r="M43" i="11"/>
  <c r="M44" i="11"/>
  <c r="M45" i="11"/>
  <c r="M46" i="11"/>
  <c r="M47" i="11"/>
  <c r="M48" i="11"/>
  <c r="M49" i="11"/>
  <c r="L3" i="11" a="1"/>
  <c r="F7" i="2" l="1"/>
  <c r="L3" i="11"/>
  <c r="M3" i="11" s="1"/>
  <c r="K34" i="11"/>
  <c r="M34" i="11"/>
  <c r="M19" i="11"/>
  <c r="K18" i="11"/>
  <c r="K31" i="11"/>
  <c r="K15" i="11"/>
  <c r="K30" i="11"/>
  <c r="K14" i="11"/>
  <c r="K29" i="11"/>
  <c r="K13" i="11"/>
  <c r="K28" i="11"/>
  <c r="K12" i="11"/>
  <c r="K27" i="11"/>
  <c r="K11" i="11"/>
  <c r="K33" i="11"/>
  <c r="M33" i="11"/>
  <c r="M15" i="11"/>
  <c r="M30" i="11"/>
  <c r="M27" i="11"/>
  <c r="M11" i="11"/>
  <c r="K26" i="11"/>
  <c r="K10" i="11"/>
  <c r="K32" i="11"/>
  <c r="M16" i="11"/>
  <c r="M14" i="11"/>
  <c r="M29" i="11"/>
  <c r="M12" i="11"/>
  <c r="M26" i="11"/>
  <c r="M10" i="11"/>
  <c r="K25" i="11"/>
  <c r="K9" i="11"/>
  <c r="M18" i="11"/>
  <c r="M17" i="11"/>
  <c r="K16" i="11"/>
  <c r="M32" i="11"/>
  <c r="M31" i="11"/>
  <c r="M13" i="11"/>
  <c r="M28" i="11"/>
  <c r="M25" i="11"/>
  <c r="M9" i="11"/>
  <c r="K24" i="11"/>
  <c r="K8" i="11"/>
  <c r="M24" i="11"/>
  <c r="M8" i="11"/>
  <c r="K23" i="11"/>
  <c r="K7" i="11"/>
  <c r="K22" i="11"/>
  <c r="K6" i="11"/>
  <c r="K21" i="11"/>
  <c r="K5" i="11"/>
  <c r="M7" i="11"/>
  <c r="M22" i="11"/>
  <c r="K20" i="11"/>
  <c r="K4" i="11"/>
  <c r="K17" i="11"/>
  <c r="M23" i="11"/>
  <c r="M6" i="11"/>
  <c r="M21" i="11"/>
  <c r="M5" i="11"/>
  <c r="M20" i="11"/>
  <c r="M4" i="11"/>
  <c r="K19" i="11"/>
  <c r="AD2" i="11"/>
  <c r="AD3" i="11" s="1"/>
  <c r="W2" i="11"/>
  <c r="W3" i="11" s="1"/>
  <c r="F8" i="2" l="1"/>
  <c r="K3" i="11"/>
  <c r="O3" i="11" s="1" a="1"/>
  <c r="O3" i="11" s="1"/>
  <c r="AH3" i="11" s="1" a="1"/>
  <c r="AH3" i="11" s="1"/>
  <c r="F9" i="2" l="1"/>
  <c r="Y2" i="11" a="1"/>
  <c r="Y2" i="11" s="1"/>
  <c r="F10" i="2" l="1"/>
  <c r="T3" i="2" a="1"/>
  <c r="T3" i="2" s="1"/>
  <c r="F11" i="2" l="1"/>
  <c r="G60" i="7"/>
  <c r="F12" i="2" l="1"/>
  <c r="J3" i="4" a="1"/>
  <c r="J3" i="4" s="1"/>
  <c r="O93" i="7" s="1" a="1"/>
  <c r="O93" i="7" s="1"/>
  <c r="I34" i="8" s="1" a="1"/>
  <c r="I34" i="8" s="1"/>
  <c r="J26" i="8"/>
  <c r="I26" i="8"/>
  <c r="I12" i="8"/>
  <c r="E24" i="4"/>
  <c r="J20" i="7"/>
  <c r="O48" i="7" s="1"/>
  <c r="O56" i="7" s="1"/>
  <c r="J23" i="7" s="1"/>
  <c r="G87" i="7" s="1"/>
  <c r="G86" i="7"/>
  <c r="J29" i="7"/>
  <c r="G94" i="7" s="1"/>
  <c r="I41" i="8" s="1"/>
  <c r="O65" i="7"/>
  <c r="O64" i="7"/>
  <c r="G64" i="7"/>
  <c r="O62" i="7"/>
  <c r="O61" i="7"/>
  <c r="G61" i="7"/>
  <c r="O60" i="7"/>
  <c r="M10" i="7"/>
  <c r="F13" i="2" l="1"/>
  <c r="B3" i="9"/>
  <c r="I38" i="8"/>
  <c r="B4" i="9"/>
  <c r="I39" i="8"/>
  <c r="E26" i="4"/>
  <c r="E29" i="4" s="1"/>
  <c r="J25" i="7"/>
  <c r="I14" i="8" s="1"/>
  <c r="D8" i="8" s="1"/>
  <c r="G83" i="7"/>
  <c r="E90" i="7"/>
  <c r="J5" i="6"/>
  <c r="F12" i="6"/>
  <c r="F13" i="6"/>
  <c r="F16" i="6"/>
  <c r="F15" i="6"/>
  <c r="L17" i="6"/>
  <c r="L16" i="6"/>
  <c r="L14" i="6"/>
  <c r="L13" i="6"/>
  <c r="L12" i="6"/>
  <c r="F14" i="2" l="1"/>
  <c r="E35" i="4"/>
  <c r="E36" i="4"/>
  <c r="E37" i="4"/>
  <c r="E38" i="4"/>
  <c r="E32" i="4"/>
  <c r="E33" i="4"/>
  <c r="E34" i="4"/>
  <c r="E39" i="4"/>
  <c r="E40" i="4"/>
  <c r="E41" i="4"/>
  <c r="F35" i="6"/>
  <c r="F15" i="2" l="1"/>
  <c r="E42" i="4"/>
  <c r="J34" i="7" s="1"/>
  <c r="O89" i="7" s="1"/>
  <c r="F16" i="2" l="1"/>
  <c r="I22" i="8"/>
  <c r="F17" i="2" l="1"/>
  <c r="F18" i="2" l="1"/>
  <c r="F19" i="2" l="1"/>
  <c r="F20" i="2" l="1"/>
  <c r="F21" i="2" l="1"/>
  <c r="I18" i="2"/>
  <c r="I16" i="2"/>
  <c r="I21" i="2" l="1"/>
  <c r="I2" i="2"/>
  <c r="I4" i="2"/>
  <c r="I3" i="2"/>
  <c r="I6" i="2"/>
  <c r="I10" i="2"/>
  <c r="I11" i="2"/>
  <c r="I15" i="2"/>
  <c r="I19" i="2"/>
  <c r="I17" i="2"/>
  <c r="I14" i="2"/>
  <c r="I13" i="2"/>
  <c r="I12" i="2"/>
  <c r="I20" i="2"/>
  <c r="G2" i="9" l="1" a="1"/>
  <c r="G2" i="9" s="1"/>
  <c r="D2" i="9" a="1"/>
  <c r="D2" i="9" s="1"/>
  <c r="F36" i="6"/>
  <c r="F38" i="6" s="1"/>
  <c r="F39" i="6" s="1"/>
  <c r="E91" i="7"/>
  <c r="G92" i="7" s="1"/>
  <c r="K2" i="2" a="1"/>
  <c r="K2" i="2" s="1"/>
  <c r="J2" i="9" a="1"/>
  <c r="J2" i="9" s="1"/>
  <c r="N2" i="9" s="1"/>
  <c r="N2" i="2" l="1" a="1"/>
  <c r="N2" i="2" s="1"/>
  <c r="Q2" i="2" a="1"/>
  <c r="Q2" i="2" s="1"/>
  <c r="I40" i="8"/>
  <c r="B5" i="9"/>
  <c r="J26" i="7"/>
  <c r="J27" i="7" s="1"/>
  <c r="P2" i="9" a="1"/>
  <c r="P2" i="9" s="1"/>
  <c r="L21" i="6" l="1" a="1"/>
  <c r="L21" i="6" s="1"/>
  <c r="M69" i="7" a="1"/>
  <c r="M69" i="7" s="1"/>
  <c r="O69" i="7" a="1"/>
  <c r="O69" i="7" s="1"/>
  <c r="J21" i="6" a="1"/>
  <c r="J21" i="6" s="1"/>
  <c r="I16" i="8"/>
  <c r="E6" i="4"/>
  <c r="O84" i="7"/>
  <c r="E69" i="7" a="1"/>
  <c r="E69" i="7" s="1"/>
  <c r="F21" i="6" a="1"/>
  <c r="F21" i="6" s="1"/>
  <c r="G69" i="7" a="1"/>
  <c r="G69" i="7" s="1"/>
  <c r="D21" i="6" a="1"/>
  <c r="D21" i="6" s="1"/>
  <c r="E11" i="4" l="1"/>
  <c r="E17" i="4"/>
  <c r="E12" i="4"/>
  <c r="E18" i="4"/>
  <c r="E10" i="4"/>
  <c r="E16" i="4"/>
  <c r="E19" i="4"/>
  <c r="E14" i="4"/>
  <c r="E15" i="4"/>
  <c r="E13" i="4"/>
  <c r="E20" i="4" l="1"/>
  <c r="P35" i="6" s="1" a="1"/>
  <c r="P35" i="6" s="1"/>
  <c r="I99" i="7" l="1" a="1"/>
  <c r="I99" i="7" s="1"/>
  <c r="J28" i="7"/>
  <c r="F41" i="6"/>
  <c r="F42" i="6" s="1"/>
  <c r="I18" i="8" l="1"/>
  <c r="J30" i="7"/>
  <c r="J33" i="7" s="1"/>
  <c r="O87" i="7" l="1"/>
  <c r="O86" i="7"/>
  <c r="H35" i="7"/>
  <c r="J35" i="7"/>
  <c r="I20" i="8"/>
  <c r="G24" i="8" l="1"/>
  <c r="M91" i="7"/>
  <c r="O91" i="7"/>
  <c r="I24"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C47BF7-EA36-4E1E-A7B6-9B61B6930975}" keepAlive="1" name="Query - Exepenses_Categories" description="Connection to the 'Exepenses_Categories' query in the workbook." type="5" refreshedVersion="8" background="1" saveData="1">
    <dbPr connection="Provider=Microsoft.Mashup.OleDb.1;Data Source=$Workbook$;Location=Exepenses_Categories;Extended Properties=&quot;&quot;" command="SELECT * FROM [Exepenses_Categories]"/>
  </connection>
  <connection id="2" xr16:uid="{6F251473-6924-44B2-BEF5-810DECC1031A}" keepAlive="1" name="Query - Improvement_taxRelief" description="Connection to the 'Improvement_taxRelief' query in the workbook." type="5" refreshedVersion="8" background="1" saveData="1">
    <dbPr connection="Provider=Microsoft.Mashup.OleDb.1;Data Source=$Workbook$;Location=Improvement_taxRelief;Extended Properties=&quot;&quot;" command="SELECT * FROM [Improvement_taxRelief]"/>
  </connection>
  <connection id="3" xr16:uid="{D9F31D62-E682-4288-B535-EAECE9F7A933}" keepAlive="1" name="Query - Toggled_Categories" description="Connection to the 'Toggled_Categories' query in the workbook." type="5" refreshedVersion="8" background="1" saveData="1">
    <dbPr connection="Provider=Microsoft.Mashup.OleDb.1;Data Source=$Workbook$;Location=Toggled_Categories;Extended Properties=&quot;&quot;" command="SELECT * FROM [Toggled_Categori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<sst xmlns="http://schemas.openxmlformats.org/spreadsheetml/2006/main" count="2313" uniqueCount="455">
  <si>
    <t>No.</t>
  </si>
  <si>
    <t>Individual Relief Types</t>
  </si>
  <si>
    <t>Subcategory amount</t>
  </si>
  <si>
    <t>Amount</t>
  </si>
  <si>
    <t>Individual and dependent relatives</t>
  </si>
  <si>
    <t>Medical Treatment, special needs and carer expenses for parents</t>
  </si>
  <si>
    <t>Purchase of basic supporting equipment for disabled self, spouse child or parent</t>
  </si>
  <si>
    <t>Education (self)</t>
  </si>
  <si>
    <t>Disabled individual</t>
  </si>
  <si>
    <t>Course of study undertaken for the purpose of upskilling or self-enhancement</t>
  </si>
  <si>
    <t>Medical expenses on serious diseases for self, spouse or child/ Fertility treatment for self or spouse</t>
  </si>
  <si>
    <t>Vaccination for self, spouse and child</t>
  </si>
  <si>
    <t>Complete medical examination/ Covid-19 detection test/Mental health examination for self, spouse or child</t>
  </si>
  <si>
    <t>Expense for child aged 18 and below: Assessment of intellectual disablility diagnosis/ Early intervention programme/intellectual disability rehabilation treatment</t>
  </si>
  <si>
    <t>Category</t>
  </si>
  <si>
    <t>Individual</t>
  </si>
  <si>
    <t>Supporting equipment</t>
  </si>
  <si>
    <t>Education(self)</t>
  </si>
  <si>
    <t>Education (upskilling)</t>
  </si>
  <si>
    <t>Medical Examination(self/spouse/child)</t>
  </si>
  <si>
    <t>Intellectual disability(child)</t>
  </si>
  <si>
    <t>Lifestyle expenses (books/sports equipment/personal computer, smartphone and tablet/monthly bill for internet subcription</t>
  </si>
  <si>
    <t>Lifestyle (sports)</t>
  </si>
  <si>
    <t>Lifestyle(sports)</t>
  </si>
  <si>
    <t>Breatfeeding equipment for own use for a child aged 2 years and below (allowed once every 2 years of assessment)</t>
  </si>
  <si>
    <t>Child care fees to a registered child care centre / kindergarten for a child aged 6 years and below</t>
  </si>
  <si>
    <t>Kindergarden (6yo and below)</t>
  </si>
  <si>
    <t>Breastfeeding (2yo and below)</t>
  </si>
  <si>
    <t>Net deposit in Skim Simpanan Pendidikan Nasional </t>
  </si>
  <si>
    <t>Net deposit in SSPN</t>
  </si>
  <si>
    <t>Husband / wife / payment of alimony to former wife</t>
  </si>
  <si>
    <t>Alimony</t>
  </si>
  <si>
    <t>Disabled husband / wife</t>
  </si>
  <si>
    <t>16a</t>
  </si>
  <si>
    <t>Each unmarried child and under the age of 18 years old</t>
  </si>
  <si>
    <t>unmarried child under 18yo</t>
  </si>
  <si>
    <t>Amount (multiply)</t>
  </si>
  <si>
    <t>16b</t>
  </si>
  <si>
    <t>Each unmarried child of 18 years and above who is receiving full-time education ("A-Level", certificate, matriculation or preparatory courses).</t>
  </si>
  <si>
    <t>above 18yo child in pre-u education</t>
  </si>
  <si>
    <t>above 18yo child in diploma or higher</t>
  </si>
  <si>
    <t>16c</t>
  </si>
  <si>
    <t>disabled child</t>
  </si>
  <si>
    <t>Additional exemption of RM8,000 disable child age 18 years old and above, not married and pursuing diplomas or above qualification in Malaysia @ bachelor degree or above outside Malaysia in program and in Higher Education Institute that is accredited by related Government authorities</t>
  </si>
  <si>
    <t>above 18yo disabled child in diploma or higher</t>
  </si>
  <si>
    <t>EPF</t>
  </si>
  <si>
    <t>Life Insurancce</t>
  </si>
  <si>
    <t>Life Insurance</t>
  </si>
  <si>
    <t>Deferred Annuity and Private Retirement Scheme(PRS)</t>
  </si>
  <si>
    <t>PRS</t>
  </si>
  <si>
    <t>Education and medical insurance</t>
  </si>
  <si>
    <t>Contribution to the Social Security Organization (SOCSO)</t>
  </si>
  <si>
    <t>Contribution to SOCSO</t>
  </si>
  <si>
    <t>Charging electric vehicle</t>
  </si>
  <si>
    <t>Expenses on charging facilities for Electric Vehicle</t>
  </si>
  <si>
    <t>Medical(parents)</t>
  </si>
  <si>
    <t>Total</t>
  </si>
  <si>
    <t>Tax Relief</t>
  </si>
  <si>
    <t>Amount from expenses</t>
  </si>
  <si>
    <t>Number</t>
  </si>
  <si>
    <t>Medical (self/spouse/child)</t>
  </si>
  <si>
    <t>Taxable Income</t>
  </si>
  <si>
    <t>Tax Bracket</t>
  </si>
  <si>
    <t>Tax Rate</t>
  </si>
  <si>
    <t>Taxes</t>
  </si>
  <si>
    <t>Income Tax Calculation YA2023</t>
  </si>
  <si>
    <t>&gt;2000000</t>
  </si>
  <si>
    <t>Recommended Categories to improve tax relief</t>
  </si>
  <si>
    <t>Amount available</t>
  </si>
  <si>
    <t>Yes</t>
  </si>
  <si>
    <t>Vaccination(self/spouse/child)</t>
  </si>
  <si>
    <t>Tax Calculator Malaysia YA2023</t>
  </si>
  <si>
    <t>Disability</t>
  </si>
  <si>
    <t>No</t>
  </si>
  <si>
    <t>Is your husband/wife working?</t>
  </si>
  <si>
    <t>Is your husband/wife disabled?</t>
  </si>
  <si>
    <t>Tax Deductions</t>
  </si>
  <si>
    <t>Total Tax Relief</t>
  </si>
  <si>
    <t>Tax payable</t>
  </si>
  <si>
    <t>INPUTS</t>
  </si>
  <si>
    <t>RESULTS</t>
  </si>
  <si>
    <t>CHILDREN DETAILS</t>
  </si>
  <si>
    <t>OPTION</t>
  </si>
  <si>
    <t>DEDUCTION</t>
  </si>
  <si>
    <t>NUMBER</t>
  </si>
  <si>
    <t>Child(&lt;18)</t>
  </si>
  <si>
    <t>Child(≥18) , Pre-U or equivalent</t>
  </si>
  <si>
    <t>SELF AND/OR SPOUSE DETAILS</t>
  </si>
  <si>
    <t>Child(≥18) , Diploma and above</t>
  </si>
  <si>
    <t>Disabled Child</t>
  </si>
  <si>
    <t xml:space="preserve"> Disabled Child(≥18) , Diploma and above</t>
  </si>
  <si>
    <t>Maritial Status</t>
  </si>
  <si>
    <t>Payment of alimony to former wife</t>
  </si>
  <si>
    <t>Subtotal of Situation Based Tax Relief</t>
  </si>
  <si>
    <t>Subtotal of Expense Based Tax Relief</t>
  </si>
  <si>
    <t>Average Tax Rate</t>
  </si>
  <si>
    <t>Annual Income</t>
  </si>
  <si>
    <t>Expense and Tax Interpreter</t>
  </si>
  <si>
    <t>Name</t>
  </si>
  <si>
    <t>Date Today</t>
  </si>
  <si>
    <t>PKY</t>
  </si>
  <si>
    <t>Summary of Tax Relief from Expenses Data</t>
  </si>
  <si>
    <t xml:space="preserve">For summary </t>
  </si>
  <si>
    <t>For first half</t>
  </si>
  <si>
    <t>For second Half</t>
  </si>
  <si>
    <t>Statuary Income from rents</t>
  </si>
  <si>
    <t>Statuary Income from sources of periodical payments eg. Interest, discounts, royalties</t>
  </si>
  <si>
    <t>Statuary Income from employment</t>
  </si>
  <si>
    <t>Aggregate of other statuary income from sources outside Malaysia</t>
  </si>
  <si>
    <t>B1</t>
  </si>
  <si>
    <t>B2</t>
  </si>
  <si>
    <t>B3</t>
  </si>
  <si>
    <t>B4</t>
  </si>
  <si>
    <t>B5</t>
  </si>
  <si>
    <t>Aggregate income</t>
  </si>
  <si>
    <t>(B) Computation of income tax</t>
  </si>
  <si>
    <t>B6</t>
  </si>
  <si>
    <t>B8</t>
  </si>
  <si>
    <t>B10</t>
  </si>
  <si>
    <t>Total income from Husband/Wife</t>
  </si>
  <si>
    <t>Aggregate of total income</t>
  </si>
  <si>
    <t>B11</t>
  </si>
  <si>
    <t>B12</t>
  </si>
  <si>
    <t>Total relief (Fill in part G)</t>
  </si>
  <si>
    <t>B13</t>
  </si>
  <si>
    <t>B17</t>
  </si>
  <si>
    <t>Total income tax</t>
  </si>
  <si>
    <t>B18</t>
  </si>
  <si>
    <t>Less: Total Rebate (Fill in Part 2B)</t>
  </si>
  <si>
    <t>(G) Tax Relief</t>
  </si>
  <si>
    <t>(2B) Tax Rebate</t>
  </si>
  <si>
    <t>Additional Rebate if Chargeble Income &lt;RM35000</t>
  </si>
  <si>
    <t>Zakat and Fitrah</t>
  </si>
  <si>
    <t xml:space="preserve">Departure Levy for umrah travel/religious travel for other religions </t>
  </si>
  <si>
    <t>Rebate</t>
  </si>
  <si>
    <t>(F) Donations/Gifts</t>
  </si>
  <si>
    <t>F1</t>
  </si>
  <si>
    <t>F2</t>
  </si>
  <si>
    <t>F3</t>
  </si>
  <si>
    <t>F4</t>
  </si>
  <si>
    <t>F5</t>
  </si>
  <si>
    <t>F6</t>
  </si>
  <si>
    <t>F7</t>
  </si>
  <si>
    <t>F8</t>
  </si>
  <si>
    <t>F9</t>
  </si>
  <si>
    <t>F10</t>
  </si>
  <si>
    <t>Gift of money to the Government, State Government or Local Authorities.</t>
  </si>
  <si>
    <t>Gift of money to Approved Institutions or Organisations.</t>
  </si>
  <si>
    <t>Gift of money or cost of contribution in kind for any Approved Sports Activity or Sports Body.</t>
  </si>
  <si>
    <t>Gift of money or cost of contribution in kind for any Approved Project of National Interest Approved by Ministry of Finance.</t>
  </si>
  <si>
    <t>Gift of artifacts, manuscripts or paintings.</t>
  </si>
  <si>
    <t>Gift of money for provision of Library Facilities or to Libraries.</t>
  </si>
  <si>
    <t>Gift of money or contribution in kind for the provision of facilities in Public Places for the benefit of disabled persons.</t>
  </si>
  <si>
    <t>Gift of money or medical equipment to any healthcare facility approved by the Ministry of Health.</t>
  </si>
  <si>
    <t>Gift of paintings to the National Art Gallery or any State Art Gallery.</t>
  </si>
  <si>
    <t>Total approved donations/Gifts</t>
  </si>
  <si>
    <t>Limited to 10% of Aggregate income (B5)</t>
  </si>
  <si>
    <t>B19</t>
  </si>
  <si>
    <t>Total Tax Charged</t>
  </si>
  <si>
    <t>B20</t>
  </si>
  <si>
    <t>Section 110 tax deduction</t>
  </si>
  <si>
    <t>B21</t>
  </si>
  <si>
    <t>Section 132+Section 133 tax relief</t>
  </si>
  <si>
    <t>B22</t>
  </si>
  <si>
    <t>Tax Payable</t>
  </si>
  <si>
    <t>Aggregate Income (before any deductions)</t>
  </si>
  <si>
    <t>Angel investor tax incentive</t>
  </si>
  <si>
    <t>Donations/Gifts</t>
  </si>
  <si>
    <t>Tax payable (before rebate)</t>
  </si>
  <si>
    <t>Summary</t>
  </si>
  <si>
    <t>Total Tax Rebate</t>
  </si>
  <si>
    <t>Tax payable (After rebate)</t>
  </si>
  <si>
    <t>Donations/gifts/contributions (Fill in Part F)</t>
  </si>
  <si>
    <t>Less : Investment under angel investor tax incentive</t>
  </si>
  <si>
    <t>Married</t>
  </si>
  <si>
    <t>Most recommended category to increase expenses for tax relief</t>
  </si>
  <si>
    <t>Aggregate Income</t>
  </si>
  <si>
    <t>Angel Investor Tax Incentive</t>
  </si>
  <si>
    <t>TAX RELIEF SUMMARY</t>
  </si>
  <si>
    <t>B24</t>
  </si>
  <si>
    <t>Sum of Monthly Tax Deductions (MTD)</t>
  </si>
  <si>
    <t>B25</t>
  </si>
  <si>
    <t>Monthly rate PCB/MTD</t>
  </si>
  <si>
    <t>Yearly Income</t>
  </si>
  <si>
    <t>EPF Rate</t>
  </si>
  <si>
    <t>EPF Relief</t>
  </si>
  <si>
    <t>Individual Relief</t>
  </si>
  <si>
    <t xml:space="preserve">Taxable income </t>
  </si>
  <si>
    <t>Tax Summary for YA 2023</t>
  </si>
  <si>
    <t>Tax Payable (Before Rebate)</t>
  </si>
  <si>
    <t>Tax Payable (After Rebate)</t>
  </si>
  <si>
    <t>MTD/PCB Payment during 2023</t>
  </si>
  <si>
    <t>Date and Time</t>
  </si>
  <si>
    <t>Others</t>
  </si>
  <si>
    <t>Find the top 5 contributors of relief</t>
  </si>
  <si>
    <t>Sum all the rest</t>
  </si>
  <si>
    <t>Most recommended Category to Increase Tax Relief:</t>
  </si>
  <si>
    <t>Amount Available:</t>
  </si>
  <si>
    <t>Tax Relief Sum:</t>
  </si>
  <si>
    <t>Other Values</t>
  </si>
  <si>
    <t>Tax Rebate Sum:</t>
  </si>
  <si>
    <t>Donations:</t>
  </si>
  <si>
    <t>Angel Investor Tax Incentive:</t>
  </si>
  <si>
    <t>Date</t>
  </si>
  <si>
    <t>Month</t>
  </si>
  <si>
    <t>Item</t>
  </si>
  <si>
    <t>Subcategory</t>
  </si>
  <si>
    <t>Recipient</t>
  </si>
  <si>
    <t>Unit</t>
  </si>
  <si>
    <t>Price</t>
  </si>
  <si>
    <t>Tax Relief Category</t>
  </si>
  <si>
    <t>January</t>
  </si>
  <si>
    <t>Fried Chicken</t>
  </si>
  <si>
    <t>Food</t>
  </si>
  <si>
    <t>Breakfast</t>
  </si>
  <si>
    <t>KFC</t>
  </si>
  <si>
    <t>Non-Tax Relief Expenses</t>
  </si>
  <si>
    <t xml:space="preserve">Grocery Shopping </t>
  </si>
  <si>
    <t>Grocery</t>
  </si>
  <si>
    <t>Aeon</t>
  </si>
  <si>
    <t>Chinese cuisine</t>
  </si>
  <si>
    <t>Dinner</t>
  </si>
  <si>
    <t>Bai Wei</t>
  </si>
  <si>
    <t>Nasi Lemak</t>
  </si>
  <si>
    <t>Lunch</t>
  </si>
  <si>
    <t>Village Park</t>
  </si>
  <si>
    <t>Petrol Refill</t>
  </si>
  <si>
    <t>Transportation</t>
  </si>
  <si>
    <t>Personal</t>
  </si>
  <si>
    <t>Shell</t>
  </si>
  <si>
    <t>Medical Insurance</t>
  </si>
  <si>
    <t>Insurance</t>
  </si>
  <si>
    <t>Medical</t>
  </si>
  <si>
    <t>Great Eastern</t>
  </si>
  <si>
    <t>House Loan</t>
  </si>
  <si>
    <t>Housing</t>
  </si>
  <si>
    <t>Mortgage</t>
  </si>
  <si>
    <t>Public Bank</t>
  </si>
  <si>
    <t>Childcare Fee</t>
  </si>
  <si>
    <t>Education</t>
  </si>
  <si>
    <t>Childcare</t>
  </si>
  <si>
    <t>Little Legends</t>
  </si>
  <si>
    <t>Hunger Games</t>
  </si>
  <si>
    <t>Entertainment</t>
  </si>
  <si>
    <t>Movies</t>
  </si>
  <si>
    <t>TGV</t>
  </si>
  <si>
    <t>Mineral Water</t>
  </si>
  <si>
    <t>Burger</t>
  </si>
  <si>
    <t>MCD</t>
  </si>
  <si>
    <t>Chee Cheong Fun</t>
  </si>
  <si>
    <t>Sg Long Restaurant</t>
  </si>
  <si>
    <t>Korean BBQ</t>
  </si>
  <si>
    <t>Daorae</t>
  </si>
  <si>
    <t>EPF Contribution</t>
  </si>
  <si>
    <t>Investment</t>
  </si>
  <si>
    <t>Retirement</t>
  </si>
  <si>
    <t>SOCSO Contribution</t>
  </si>
  <si>
    <t>Social Security</t>
  </si>
  <si>
    <t>SOCSO</t>
  </si>
  <si>
    <t>Water Bill</t>
  </si>
  <si>
    <t>Utilities</t>
  </si>
  <si>
    <t>Water</t>
  </si>
  <si>
    <t>Air Selangor</t>
  </si>
  <si>
    <t>SSPN Deposit</t>
  </si>
  <si>
    <t>SSPN Bank</t>
  </si>
  <si>
    <t>Life</t>
  </si>
  <si>
    <t>Educational Insurance</t>
  </si>
  <si>
    <t>Car Loan</t>
  </si>
  <si>
    <t>Loan</t>
  </si>
  <si>
    <t>Concert Tickets</t>
  </si>
  <si>
    <t>Concert</t>
  </si>
  <si>
    <t>Live Nation</t>
  </si>
  <si>
    <t>MyCity Pass 1-Day</t>
  </si>
  <si>
    <t>Public Transportation</t>
  </si>
  <si>
    <t>Rapid KL</t>
  </si>
  <si>
    <t>Bread</t>
  </si>
  <si>
    <t>Chicken Rice</t>
  </si>
  <si>
    <t>Chicken Rice Shop</t>
  </si>
  <si>
    <t>Sushi</t>
  </si>
  <si>
    <t>Sushi King</t>
  </si>
  <si>
    <t>Private Retirement Scheme (PRS)</t>
  </si>
  <si>
    <t>Public Mutual</t>
  </si>
  <si>
    <t>Electric Bill</t>
  </si>
  <si>
    <t xml:space="preserve">Electric </t>
  </si>
  <si>
    <t>TNB</t>
  </si>
  <si>
    <t>Internet Subscription</t>
  </si>
  <si>
    <t>Internet</t>
  </si>
  <si>
    <t>TIME</t>
  </si>
  <si>
    <t>Lifestyle(books/personal smart device/sports equipment/internet bill)</t>
  </si>
  <si>
    <t>February</t>
  </si>
  <si>
    <t>Char Kuey Teow</t>
  </si>
  <si>
    <t>Robert's Char Kuey Teow</t>
  </si>
  <si>
    <t>Roti Telur</t>
  </si>
  <si>
    <t>Mamak</t>
  </si>
  <si>
    <t>Shawarma</t>
  </si>
  <si>
    <t>Al-Amar</t>
  </si>
  <si>
    <t>Frozen</t>
  </si>
  <si>
    <t>New Laptop</t>
  </si>
  <si>
    <t>Electronics</t>
  </si>
  <si>
    <t>Laptop</t>
  </si>
  <si>
    <t>MSI</t>
  </si>
  <si>
    <t xml:space="preserve">Parking Fee </t>
  </si>
  <si>
    <t>TRX</t>
  </si>
  <si>
    <t>Economy Rice</t>
  </si>
  <si>
    <t>Mr B</t>
  </si>
  <si>
    <t>Egg Tart</t>
  </si>
  <si>
    <t>TK Bakery</t>
  </si>
  <si>
    <t>Pizza</t>
  </si>
  <si>
    <t>DInner</t>
  </si>
  <si>
    <t>Pizza Hut</t>
  </si>
  <si>
    <t>Burger King</t>
  </si>
  <si>
    <t>Laksa</t>
  </si>
  <si>
    <t>D'Laksa</t>
  </si>
  <si>
    <t>Lemon Tea</t>
  </si>
  <si>
    <t>PS5 Console</t>
  </si>
  <si>
    <t>Gaming</t>
  </si>
  <si>
    <t>GameStop</t>
  </si>
  <si>
    <t>March</t>
  </si>
  <si>
    <t>Endgame</t>
  </si>
  <si>
    <t>Dim Sum</t>
  </si>
  <si>
    <t xml:space="preserve">Ming Court </t>
  </si>
  <si>
    <t>Noodle Soup</t>
  </si>
  <si>
    <t>Mee Tarik</t>
  </si>
  <si>
    <t>Penang Prawn Mee</t>
  </si>
  <si>
    <t>Ah Kooi Hokkien Mee</t>
  </si>
  <si>
    <t>Chicken Chop</t>
  </si>
  <si>
    <t>Charlie's Café</t>
  </si>
  <si>
    <t>Iced Cola</t>
  </si>
  <si>
    <t>Ramen</t>
  </si>
  <si>
    <t>Kanbe</t>
  </si>
  <si>
    <t>Theme Park Tickets</t>
  </si>
  <si>
    <t>Theme Park</t>
  </si>
  <si>
    <t>Genting Group</t>
  </si>
  <si>
    <t>Buffet</t>
  </si>
  <si>
    <t>Mookata</t>
  </si>
  <si>
    <t>Fried Rice</t>
  </si>
  <si>
    <t>Fire City</t>
  </si>
  <si>
    <t>April</t>
  </si>
  <si>
    <t>Boba Tea</t>
  </si>
  <si>
    <t>Tealive</t>
  </si>
  <si>
    <t>KFD</t>
  </si>
  <si>
    <t>The Conjuring</t>
  </si>
  <si>
    <t>Ramly Burger</t>
  </si>
  <si>
    <t>Cake</t>
  </si>
  <si>
    <t>Secret Recipe</t>
  </si>
  <si>
    <t>Nasi Ayam Kukus</t>
  </si>
  <si>
    <t>Wawa</t>
  </si>
  <si>
    <t>Wan Tan Mee</t>
  </si>
  <si>
    <t>Karaoke Night</t>
  </si>
  <si>
    <t>Music</t>
  </si>
  <si>
    <t>Red Box</t>
  </si>
  <si>
    <t>Annual Medical Checkup</t>
  </si>
  <si>
    <t>Health</t>
  </si>
  <si>
    <t>Examination</t>
  </si>
  <si>
    <t>Pantai Hospital</t>
  </si>
  <si>
    <t>Pavilion</t>
  </si>
  <si>
    <t>Gym Equipment</t>
  </si>
  <si>
    <t>Fitness</t>
  </si>
  <si>
    <t>HF Lifestyle</t>
  </si>
  <si>
    <t>May</t>
  </si>
  <si>
    <t>Curry Noodle</t>
  </si>
  <si>
    <t>Yee Fatt</t>
  </si>
  <si>
    <t>Satay</t>
  </si>
  <si>
    <t>Satay Kajang</t>
  </si>
  <si>
    <t>Suicide Squad</t>
  </si>
  <si>
    <t>Highway Toll Fees</t>
  </si>
  <si>
    <t>PLUS</t>
  </si>
  <si>
    <t>Mexican Cuisine</t>
  </si>
  <si>
    <t>Chica Bonita</t>
  </si>
  <si>
    <t>SeaFoodPasta</t>
  </si>
  <si>
    <t>House of Wheat</t>
  </si>
  <si>
    <t>Sourdough with Chicken Hummus</t>
  </si>
  <si>
    <t>Sushi Zanmai</t>
  </si>
  <si>
    <t>Gaming Mouse</t>
  </si>
  <si>
    <t>Logitech</t>
  </si>
  <si>
    <t>Train Ticket to Ipoh</t>
  </si>
  <si>
    <t>KTMB</t>
  </si>
  <si>
    <t>Train Ticket to Kuala Lumpur</t>
  </si>
  <si>
    <t>June</t>
  </si>
  <si>
    <t>Banglo 289 Breakfast</t>
  </si>
  <si>
    <t>Banglo 289</t>
  </si>
  <si>
    <t>Coffee</t>
  </si>
  <si>
    <t>Starbucks</t>
  </si>
  <si>
    <t>Lempeng Pisang</t>
  </si>
  <si>
    <t>New Phone</t>
  </si>
  <si>
    <t>Phone</t>
  </si>
  <si>
    <t>Apple Store</t>
  </si>
  <si>
    <t>Comedy Show Tickets</t>
  </si>
  <si>
    <t>Comedy</t>
  </si>
  <si>
    <t>The Joke Factory</t>
  </si>
  <si>
    <t>BBQ Short Ribs</t>
  </si>
  <si>
    <t>The Steakhouse Kl</t>
  </si>
  <si>
    <t>Norwegian Fresh Salmon</t>
  </si>
  <si>
    <t>Teppanyaki Beef Set</t>
  </si>
  <si>
    <t>Teppanyaki</t>
  </si>
  <si>
    <t xml:space="preserve">Board Game </t>
  </si>
  <si>
    <t>Toys"R"Us</t>
  </si>
  <si>
    <t>July</t>
  </si>
  <si>
    <t>The Super Mario Bros. Movie</t>
  </si>
  <si>
    <t>Escape Room</t>
  </si>
  <si>
    <t>Adventure</t>
  </si>
  <si>
    <t>Puzzle Planet</t>
  </si>
  <si>
    <t>August</t>
  </si>
  <si>
    <t>Comic Fiesta Saturday Pass</t>
  </si>
  <si>
    <t>Event</t>
  </si>
  <si>
    <t>Comic Fiesta</t>
  </si>
  <si>
    <t>September</t>
  </si>
  <si>
    <t>Gaming Expo Pass</t>
  </si>
  <si>
    <t xml:space="preserve">Game Expo </t>
  </si>
  <si>
    <t>Online Gaming Subscription</t>
  </si>
  <si>
    <t>PlayStation Plus</t>
  </si>
  <si>
    <t>October</t>
  </si>
  <si>
    <t>Oppenheimer</t>
  </si>
  <si>
    <t>Art Expo 3-Day Pass</t>
  </si>
  <si>
    <t>Art Expo</t>
  </si>
  <si>
    <t>November</t>
  </si>
  <si>
    <t>The Zoo</t>
  </si>
  <si>
    <t>Crackhouse Comedy Club</t>
  </si>
  <si>
    <t>December</t>
  </si>
  <si>
    <t>New Tablet</t>
  </si>
  <si>
    <t>Tablet</t>
  </si>
  <si>
    <t>Gaming Chair Purchase</t>
  </si>
  <si>
    <t>Secretlab</t>
  </si>
  <si>
    <t>Dental Checkup</t>
  </si>
  <si>
    <t>Barbie</t>
  </si>
  <si>
    <t>Sum of Total</t>
  </si>
  <si>
    <t>Sum of Unit</t>
  </si>
  <si>
    <t>Average of Total</t>
  </si>
  <si>
    <t>Row Labels</t>
  </si>
  <si>
    <t>Grand Total</t>
  </si>
  <si>
    <t>Expenses in 2023</t>
  </si>
  <si>
    <t>Total Expenses</t>
  </si>
  <si>
    <t>Total Units Purchased</t>
  </si>
  <si>
    <t>Average Expenses</t>
  </si>
  <si>
    <t>For data validation in Expenses</t>
  </si>
  <si>
    <t>NA</t>
  </si>
  <si>
    <t>HOME</t>
  </si>
  <si>
    <t>Welcome to YA 2023 Expense and Tax Calculator</t>
  </si>
  <si>
    <t>Navigate through different categories using the bar above</t>
  </si>
  <si>
    <t>3. Categories:</t>
  </si>
  <si>
    <t>1. Dataset:</t>
  </si>
  <si>
    <t>2. Dashboard:</t>
  </si>
  <si>
    <t>4. Tax Summary:</t>
  </si>
  <si>
    <t>5. Tax Report:</t>
  </si>
  <si>
    <t>Insert your expenses dataset with a set formatting</t>
  </si>
  <si>
    <t>View a dashboard of your expense</t>
  </si>
  <si>
    <t>A summary of your taxes inputed from your tax report</t>
  </si>
  <si>
    <t>A detailed report that will require user input to complete</t>
  </si>
  <si>
    <t>DEVELOPER USE ONLY</t>
  </si>
  <si>
    <t>Contains the categories used for tax relief . Can be adjusted if needed</t>
  </si>
  <si>
    <t>Then add in the necessary inputs in the tax report</t>
  </si>
  <si>
    <t>For first time users, please import your expenses data in the dataset sheet, and add in the necessary tax relief categories</t>
  </si>
  <si>
    <t>Single</t>
  </si>
  <si>
    <t>To obtain the latest tax relief information, visit the LHDN Website in the QR Code</t>
  </si>
  <si>
    <t xml:space="preserve">              Instruction : Fill in the cells in Orange , if there is any confusion with the categories, please refer to QR code to LHDN tax relief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</si>
</sst>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7" formatCode="&quot;RM&quot;#,##0.00;\-&quot;RM&quot;#,##0.00"/>
    <numFmt numFmtId="44" formatCode="_-&quot;RM&quot;* #,##0.00_-;\-&quot;RM&quot;* #,##0.00_-;_-&quot;RM&quot;* &quot;-&quot;??_-;_-@_-"/>
    <numFmt numFmtId="43" formatCode="_-* #,##0.00_-;\-* #,##0.00_-;_-* &quot;-&quot;??_-;_-@_-"/>
    <numFmt numFmtId="164" formatCode="&quot;$&quot;#,##0"/>
    <numFmt numFmtId="165" formatCode="0.0%"/>
    <numFmt numFmtId="166" formatCode="&quot;$&quot;#,##0_);[Red]\(&quot;$&quot;#,##0\)"/>
    <numFmt numFmtId="167" formatCode="&quot;RM&quot;#,##0"/>
    <numFmt numFmtId="168" formatCode="[$-14409]h:mm:ss;@"/>
    <numFmt numFmtId="169" formatCode="d\-mmm\-yyyy"/>
    <numFmt numFmtId="170" formatCode="&quot;RM&quot;#,##0.00"/>
    <numFmt numFmtId="171" formatCode=";;;"/>
    <numFmt numFmtId="172" formatCode=";;mmm"/>
  </numFmts>
  <fonts count="52" x14ac:knownFonts="1">
    <font>
      <sz val="11"/>
      <color theme="1"/>
      <name val="Calibri"/>
      <family val="2"/>
      <scheme val="minor"/>
    </font>
    <font>
      <sz val="10"/>
      <color rgb="FF000000"/>
      <name val="Arial"/>
      <family val="2"/>
    </font>
    <font>
      <sz val="11"/>
      <color rgb="FF3F3F76"/>
      <name val="Calibri"/>
      <family val="2"/>
      <scheme val="minor"/>
    </font>
    <font>
      <sz val="11"/>
      <color theme="0"/>
      <name val="Calibri"/>
      <family val="2"/>
      <scheme val="minor"/>
    </font>
    <font>
      <sz val="18"/>
      <color theme="1"/>
      <name val="Calibri"/>
      <family val="2"/>
      <scheme val="minor"/>
    </font>
    <font>
      <sz val="11"/>
      <color theme="1"/>
      <name val="Calibri"/>
      <family val="2"/>
      <scheme val="minor"/>
    </font>
    <font>
      <sz val="11"/>
      <color theme="1"/>
      <name val="Avenir Next LT Pro"/>
      <family val="2"/>
    </font>
    <font>
      <sz val="26"/>
      <name val="Avenir Next LT Pro"/>
      <family val="2"/>
    </font>
    <font>
      <sz val="16"/>
      <name val="Avenir Next LT Pro"/>
      <family val="2"/>
    </font>
    <font>
      <sz val="14"/>
      <color theme="1"/>
      <name val="Avenir Next LT Pro"/>
      <family val="2"/>
    </font>
    <font>
      <sz val="14"/>
      <name val="Avenir Next LT Pro"/>
      <family val="2"/>
    </font>
    <font>
      <sz val="16"/>
      <color theme="1"/>
      <name val="Avenir Next LT Pro"/>
      <family val="2"/>
    </font>
    <font>
      <b/>
      <sz val="12"/>
      <color theme="4" tint="-0.249977111117893"/>
      <name val="Avenir Next LT Pro"/>
      <family val="2"/>
    </font>
    <font>
      <b/>
      <sz val="18"/>
      <color theme="9" tint="-0.499984740745262"/>
      <name val="Avenir Next LT Pro"/>
      <family val="2"/>
    </font>
    <font>
      <sz val="12"/>
      <color theme="1"/>
      <name val="Avenir Next LT Pro"/>
      <family val="2"/>
    </font>
    <font>
      <b/>
      <sz val="11"/>
      <color theme="1"/>
      <name val="Avenir Next LT Pro"/>
      <family val="2"/>
    </font>
    <font>
      <sz val="36"/>
      <color theme="5" tint="-0.499984740745262"/>
      <name val="Avenir Next LT Pro"/>
      <family val="2"/>
    </font>
    <font>
      <i/>
      <sz val="11"/>
      <color theme="1"/>
      <name val="Avenir Next LT Pro"/>
      <family val="2"/>
    </font>
    <font>
      <sz val="22"/>
      <name val="Avenir Next LT Pro"/>
      <family val="2"/>
    </font>
    <font>
      <sz val="14"/>
      <color rgb="FF3F3F76"/>
      <name val="Avenir Next LT Pro"/>
      <family val="2"/>
    </font>
    <font>
      <b/>
      <sz val="16"/>
      <color theme="1"/>
      <name val="Avenir Next LT Pro"/>
      <family val="2"/>
    </font>
    <font>
      <sz val="22"/>
      <color theme="1"/>
      <name val="Avenir Next LT Pro"/>
      <family val="2"/>
    </font>
    <font>
      <b/>
      <sz val="11"/>
      <color theme="0"/>
      <name val="Avenir Next LT Pro"/>
      <family val="2"/>
    </font>
    <font>
      <sz val="20"/>
      <color theme="1"/>
      <name val="Avenir Next LT Pro"/>
      <family val="2"/>
    </font>
    <font>
      <sz val="28"/>
      <name val="Avenir Next LT Pro"/>
      <family val="2"/>
    </font>
    <font>
      <sz val="18"/>
      <color rgb="FF3F3F76"/>
      <name val="Avenir Next LT Pro"/>
      <family val="2"/>
    </font>
    <font>
      <sz val="16"/>
      <color rgb="FF3F3F76"/>
      <name val="Avenir Next LT Pro"/>
      <family val="2"/>
    </font>
    <font>
      <sz val="14"/>
      <color theme="1"/>
      <name val="Calibri"/>
      <family val="2"/>
      <scheme val="minor"/>
    </font>
    <font>
      <sz val="11"/>
      <color rgb="FF9C0006"/>
      <name val="Calibri"/>
      <family val="2"/>
      <scheme val="minor"/>
    </font>
    <font>
      <sz val="18"/>
      <name val="Avenir Next LT Pro"/>
      <family val="2"/>
    </font>
    <font>
      <sz val="20"/>
      <name val="Avenir Next LT Pro"/>
      <family val="2"/>
    </font>
    <font>
      <sz val="18"/>
      <color theme="1"/>
      <name val="Avenir Next LT Pro"/>
      <family val="2"/>
    </font>
    <font>
      <sz val="14"/>
      <color rgb="FF9C0006"/>
      <name val="Avenir Next LT Pro"/>
      <family val="2"/>
    </font>
    <font>
      <sz val="24"/>
      <color theme="1"/>
      <name val="Avenir Next LT Pro"/>
      <family val="2"/>
    </font>
    <font>
      <sz val="16"/>
      <color theme="1"/>
      <name val="Calibri"/>
      <family val="2"/>
      <scheme val="minor"/>
    </font>
    <font>
      <b/>
      <sz val="20"/>
      <color theme="1"/>
      <name val="Avenir Next LT Pro"/>
      <family val="2"/>
    </font>
    <font>
      <b/>
      <sz val="16"/>
      <name val="Avenir Next LT Pro"/>
      <family val="2"/>
    </font>
    <font>
      <sz val="11"/>
      <name val="Calibri"/>
      <family val="2"/>
      <scheme val="minor"/>
    </font>
    <font>
      <sz val="22"/>
      <color theme="0"/>
      <name val="Stencil"/>
      <family val="5"/>
    </font>
    <font>
      <sz val="24"/>
      <name val="Calibri"/>
      <family val="2"/>
      <scheme val="minor"/>
    </font>
    <font>
      <b/>
      <sz val="11"/>
      <color theme="0"/>
      <name val="Arial"/>
      <family val="2"/>
    </font>
    <font>
      <b/>
      <sz val="16"/>
      <color theme="0"/>
      <name val="Arial"/>
      <family val="2"/>
    </font>
    <font>
      <b/>
      <sz val="16"/>
      <color theme="9" tint="0.59999389629810485"/>
      <name val="Arial"/>
      <family val="2"/>
    </font>
    <font>
      <sz val="22"/>
      <color rgb="FFFF0000"/>
      <name val="Avenir Next LT Pro"/>
      <family val="2"/>
    </font>
    <font>
      <u/>
      <sz val="11"/>
      <color theme="10"/>
      <name val="Calibri"/>
      <family val="2"/>
      <scheme val="minor"/>
    </font>
    <font>
      <u/>
      <sz val="14"/>
      <color theme="10"/>
      <name val="Avenir Next LT Pro"/>
      <family val="2"/>
    </font>
    <font>
      <sz val="11"/>
      <color rgb="FFFF0000"/>
      <name val="Calibri"/>
      <family val="2"/>
      <scheme val="minor"/>
    </font>
    <font>
      <sz val="36"/>
      <color theme="0"/>
      <name val="Stencil"/>
      <family val="5"/>
    </font>
    <font>
      <b/>
      <sz val="17"/>
      <color theme="4" tint="0.79998168889431442"/>
      <name val="Calibri"/>
      <family val="2"/>
      <scheme val="minor"/>
    </font>
    <font>
      <u/>
      <sz val="20"/>
      <color theme="1"/>
      <name val="Avenir Next LT Pro"/>
      <family val="2"/>
    </font>
    <font>
      <sz val="26"/>
      <color theme="1"/>
      <name val="Avenir Next LT Pro"/>
      <family val="2"/>
    </font>
    <font>
      <b/>
      <sz val="14"/>
      <color theme="3"/>
      <name val="Avenir Next LT Pro"/>
      <family val="2"/>
    </font>
  </fonts>
  <fills count="16">
    <fill>
      <patternFill patternType="none"/>
    </fill>
    <fill>
      <patternFill patternType="gray125"/>
    </fill>
    <fill>
      <patternFill patternType="solid">
        <fgColor rgb="FFFFCC99"/>
      </patternFill>
    </fill>
    <fill>
      <patternFill patternType="solid">
        <fgColor theme="8"/>
      </patternFill>
    </fill>
    <fill>
      <patternFill patternType="solid">
        <fgColor theme="9" tint="0.79998168889431442"/>
        <bgColor indexed="64"/>
      </patternFill>
    </fill>
    <fill>
      <patternFill patternType="solid">
        <fgColor theme="1"/>
        <bgColor theme="1"/>
      </patternFill>
    </fill>
    <fill>
      <patternFill patternType="solid">
        <fgColor theme="0"/>
        <bgColor indexed="64"/>
      </patternFill>
    </fill>
    <fill>
      <patternFill patternType="solid">
        <fgColor rgb="FFE2EFDA"/>
        <bgColor indexed="64"/>
      </patternFill>
    </fill>
    <fill>
      <patternFill patternType="solid">
        <fgColor rgb="FFFFCC99"/>
        <bgColor indexed="64"/>
      </patternFill>
    </fill>
    <fill>
      <patternFill patternType="solid">
        <fgColor rgb="FFFFC7CE"/>
      </patternFill>
    </fill>
    <fill>
      <patternFill patternType="solid">
        <fgColor theme="4" tint="0.79998168889431442"/>
        <bgColor indexed="65"/>
      </patternFill>
    </fill>
    <fill>
      <patternFill patternType="solid">
        <fgColor theme="9" tint="-0.499984740745262"/>
        <bgColor indexed="64"/>
      </patternFill>
    </fill>
    <fill>
      <patternFill patternType="solid">
        <fgColor theme="4"/>
      </patternFill>
    </fill>
    <fill>
      <patternFill patternType="solid">
        <fgColor theme="7"/>
      </patternFill>
    </fill>
    <fill>
      <patternFill patternType="solid">
        <fgColor theme="8" tint="-0.249977111117893"/>
        <bgColor indexed="64"/>
      </patternFill>
    </fill>
    <fill>
      <patternFill patternType="solid">
        <fgColor theme="3"/>
        <bgColor indexed="64"/>
      </patternFill>
    </fill>
  </fills>
  <borders count="32">
    <border>
      <left/>
      <right/>
      <top/>
      <bottom/>
      <diagonal/>
    </border>
    <border>
      <left style="thin">
        <color rgb="FF7F7F7F"/>
      </left>
      <right style="thin">
        <color rgb="FF7F7F7F"/>
      </right>
      <top style="thin">
        <color rgb="FF7F7F7F"/>
      </top>
      <bottom style="thin">
        <color rgb="FF7F7F7F"/>
      </bottom>
      <diagonal/>
    </border>
    <border>
      <left/>
      <right/>
      <top/>
      <bottom style="thick">
        <color theme="9"/>
      </bottom>
      <diagonal/>
    </border>
    <border>
      <left/>
      <right/>
      <top/>
      <bottom style="medium">
        <color theme="0"/>
      </bottom>
      <diagonal/>
    </border>
    <border>
      <left/>
      <right/>
      <top style="medium">
        <color theme="0"/>
      </top>
      <bottom/>
      <diagonal/>
    </border>
    <border>
      <left/>
      <right/>
      <top style="medium">
        <color theme="0"/>
      </top>
      <bottom style="medium">
        <color theme="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style="double">
        <color theme="1"/>
      </top>
      <bottom style="thin">
        <color theme="1"/>
      </bottom>
      <diagonal/>
    </border>
    <border>
      <left/>
      <right/>
      <top style="double">
        <color theme="1"/>
      </top>
      <bottom style="thin">
        <color theme="1"/>
      </bottom>
      <diagonal/>
    </border>
    <border>
      <left/>
      <right style="thin">
        <color theme="1"/>
      </right>
      <top style="double">
        <color theme="1"/>
      </top>
      <bottom style="thin">
        <color theme="1"/>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thick">
        <color theme="0"/>
      </left>
      <right style="thick">
        <color theme="0"/>
      </right>
      <top style="thick">
        <color theme="0"/>
      </top>
      <bottom style="thick">
        <color theme="0"/>
      </bottom>
      <diagonal/>
    </border>
    <border>
      <left style="thin">
        <color indexed="64"/>
      </left>
      <right/>
      <top style="thin">
        <color indexed="64"/>
      </top>
      <bottom style="thick">
        <color theme="9"/>
      </bottom>
      <diagonal/>
    </border>
    <border>
      <left/>
      <right/>
      <top style="thin">
        <color indexed="64"/>
      </top>
      <bottom style="thick">
        <color theme="9"/>
      </bottom>
      <diagonal/>
    </border>
    <border>
      <left/>
      <right style="thin">
        <color indexed="64"/>
      </right>
      <top style="thin">
        <color indexed="64"/>
      </top>
      <bottom style="thick">
        <color theme="9"/>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ck">
        <color theme="3"/>
      </top>
      <bottom/>
      <diagonal/>
    </border>
    <border>
      <left/>
      <right/>
      <top/>
      <bottom style="thick">
        <color theme="3"/>
      </bottom>
      <diagonal/>
    </border>
    <border>
      <left/>
      <right/>
      <top style="thick">
        <color theme="3"/>
      </top>
      <bottom style="thick">
        <color theme="3"/>
      </bottom>
      <diagonal/>
    </border>
    <border>
      <left/>
      <right/>
      <top/>
      <bottom style="thick">
        <color theme="0"/>
      </bottom>
      <diagonal/>
    </border>
    <border>
      <left/>
      <right/>
      <top style="thick">
        <color theme="0"/>
      </top>
      <bottom/>
      <diagonal/>
    </border>
    <border>
      <left style="medium">
        <color indexed="64"/>
      </left>
      <right style="medium">
        <color indexed="64"/>
      </right>
      <top style="thick">
        <color theme="0"/>
      </top>
      <bottom/>
      <diagonal/>
    </border>
    <border>
      <left/>
      <right/>
      <top style="thick">
        <color theme="9"/>
      </top>
      <bottom/>
      <diagonal/>
    </border>
  </borders>
  <cellStyleXfs count="12">
    <xf numFmtId="0" fontId="0" fillId="0" borderId="0"/>
    <xf numFmtId="0" fontId="2" fillId="2" borderId="1" applyNumberFormat="0" applyAlignment="0" applyProtection="0"/>
    <xf numFmtId="0" fontId="3" fillId="3" borderId="0" applyNumberFormat="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28" fillId="9" borderId="0" applyNumberFormat="0" applyBorder="0" applyAlignment="0" applyProtection="0"/>
    <xf numFmtId="0" fontId="5" fillId="10" borderId="0" applyNumberFormat="0" applyBorder="0" applyAlignment="0" applyProtection="0"/>
    <xf numFmtId="167" fontId="41" fillId="11" borderId="16">
      <alignment horizontal="center" vertical="center"/>
    </xf>
    <xf numFmtId="0" fontId="44" fillId="0" borderId="0" applyNumberFormat="0" applyFill="0" applyBorder="0" applyAlignment="0" applyProtection="0"/>
    <xf numFmtId="0" fontId="3" fillId="12" borderId="0" applyNumberFormat="0" applyBorder="0" applyAlignment="0" applyProtection="0"/>
    <xf numFmtId="0" fontId="3" fillId="13" borderId="0" applyNumberFormat="0" applyBorder="0" applyAlignment="0" applyProtection="0"/>
    <xf numFmtId="44" fontId="5" fillId="0" borderId="0" applyFont="0" applyFill="0" applyBorder="0" applyAlignment="0" applyProtection="0"/>
  </cellStyleXfs>
  <cellXfs count="180">
    <xf numFmtId="0" fontId="0" fillId="0" borderId="0" xfId="0"/>
    <xf numFmtId="0" fontId="3" fillId="3" borderId="0" xfId="2"/>
    <xf numFmtId="0" fontId="2" fillId="2" borderId="1" xfId="1"/>
    <xf numFmtId="0" fontId="4" fillId="0" borderId="0" xfId="0" applyFont="1" applyAlignment="1">
      <alignment horizontal="centerContinuous"/>
    </xf>
    <xf numFmtId="0" fontId="0" fillId="0" borderId="0" xfId="0" applyAlignment="1">
      <alignment horizontal="right"/>
    </xf>
    <xf numFmtId="165" fontId="6" fillId="0" borderId="0" xfId="3" applyNumberFormat="1" applyFont="1" applyFill="1" applyBorder="1" applyAlignment="1" applyProtection="1">
      <alignment horizontal="left" vertical="center" indent="1"/>
    </xf>
    <xf numFmtId="164" fontId="6" fillId="0" borderId="0" xfId="4" applyNumberFormat="1" applyFont="1" applyFill="1" applyBorder="1" applyAlignment="1" applyProtection="1">
      <alignment horizontal="left" vertical="center" indent="1"/>
    </xf>
    <xf numFmtId="0" fontId="6" fillId="0" borderId="0" xfId="3" applyNumberFormat="1" applyFont="1" applyFill="1" applyBorder="1" applyAlignment="1" applyProtection="1">
      <alignment horizontal="left" vertical="center" indent="1"/>
    </xf>
    <xf numFmtId="0" fontId="6" fillId="0" borderId="0" xfId="0" applyFont="1" applyAlignment="1">
      <alignment vertical="center"/>
    </xf>
    <xf numFmtId="0" fontId="8" fillId="0" borderId="0" xfId="0" applyFont="1" applyAlignment="1">
      <alignment horizontal="center" vertical="center"/>
    </xf>
    <xf numFmtId="0" fontId="9" fillId="0" borderId="0" xfId="0" applyFont="1" applyAlignment="1">
      <alignment horizontal="right" vertical="center"/>
    </xf>
    <xf numFmtId="0" fontId="9" fillId="0" borderId="0" xfId="0" applyFont="1" applyAlignment="1">
      <alignment horizontal="center" vertical="center"/>
    </xf>
    <xf numFmtId="0" fontId="9" fillId="0" borderId="0" xfId="0" applyFont="1" applyAlignment="1">
      <alignment horizontal="left" vertical="center" indent="1"/>
    </xf>
    <xf numFmtId="0" fontId="6" fillId="0" borderId="0" xfId="0" applyFont="1" applyAlignment="1">
      <alignment horizontal="right" vertical="center"/>
    </xf>
    <xf numFmtId="0" fontId="6" fillId="0" borderId="0" xfId="0" applyFont="1" applyAlignment="1">
      <alignment horizontal="left" vertical="center" indent="1"/>
    </xf>
    <xf numFmtId="0" fontId="6" fillId="0" borderId="0" xfId="0" applyFont="1" applyAlignment="1">
      <alignment horizontal="right" vertical="center" wrapText="1"/>
    </xf>
    <xf numFmtId="0" fontId="6" fillId="0" borderId="0" xfId="0" applyFont="1" applyAlignment="1">
      <alignment horizontal="center"/>
    </xf>
    <xf numFmtId="0" fontId="6" fillId="0" borderId="0" xfId="0" applyFont="1"/>
    <xf numFmtId="0" fontId="10" fillId="0" borderId="0" xfId="0" applyFont="1" applyAlignment="1">
      <alignment horizontal="center" vertical="center"/>
    </xf>
    <xf numFmtId="0" fontId="12" fillId="0" borderId="0" xfId="0" applyFont="1" applyAlignment="1">
      <alignment vertical="center" wrapText="1"/>
    </xf>
    <xf numFmtId="1" fontId="13" fillId="0" borderId="0" xfId="0" applyNumberFormat="1" applyFont="1" applyAlignment="1">
      <alignment horizontal="left" vertical="center" indent="1"/>
    </xf>
    <xf numFmtId="0" fontId="14" fillId="0" borderId="0" xfId="0" applyFont="1" applyAlignment="1">
      <alignment horizontal="right" vertical="center" wrapText="1"/>
    </xf>
    <xf numFmtId="0" fontId="15" fillId="0" borderId="0" xfId="0" applyFont="1" applyAlignment="1">
      <alignment vertical="center"/>
    </xf>
    <xf numFmtId="0" fontId="16" fillId="0" borderId="0" xfId="0" applyFont="1" applyAlignment="1">
      <alignment horizontal="center" vertical="center"/>
    </xf>
    <xf numFmtId="0" fontId="17" fillId="0" borderId="0" xfId="0" applyFont="1" applyAlignment="1">
      <alignment vertical="center"/>
    </xf>
    <xf numFmtId="166" fontId="17" fillId="0" borderId="0" xfId="0" applyNumberFormat="1" applyFont="1" applyAlignment="1">
      <alignment vertical="center"/>
    </xf>
    <xf numFmtId="10" fontId="17" fillId="0" borderId="0" xfId="0" applyNumberFormat="1" applyFont="1" applyAlignment="1">
      <alignment vertical="center"/>
    </xf>
    <xf numFmtId="0" fontId="7" fillId="0" borderId="0" xfId="0" applyFont="1" applyAlignment="1">
      <alignment horizontal="center" vertical="center"/>
    </xf>
    <xf numFmtId="0" fontId="18" fillId="0" borderId="0" xfId="0" applyFont="1" applyAlignment="1">
      <alignment horizontal="right" vertical="center"/>
    </xf>
    <xf numFmtId="2" fontId="20" fillId="4" borderId="3" xfId="4" applyNumberFormat="1" applyFont="1" applyFill="1" applyBorder="1" applyAlignment="1" applyProtection="1">
      <alignment horizontal="left" vertical="center" indent="1"/>
    </xf>
    <xf numFmtId="0" fontId="19" fillId="2" borderId="1" xfId="1" applyFont="1" applyAlignment="1" applyProtection="1">
      <alignment horizontal="left" vertical="center"/>
      <protection locked="0"/>
    </xf>
    <xf numFmtId="0" fontId="21" fillId="0" borderId="0" xfId="0" applyFont="1" applyAlignment="1">
      <alignment vertical="center"/>
    </xf>
    <xf numFmtId="0" fontId="22" fillId="5" borderId="6" xfId="0" applyFont="1" applyFill="1" applyBorder="1"/>
    <xf numFmtId="0" fontId="22" fillId="5" borderId="7" xfId="0" applyFont="1" applyFill="1" applyBorder="1"/>
    <xf numFmtId="0" fontId="22" fillId="5" borderId="8" xfId="0" applyFont="1" applyFill="1" applyBorder="1"/>
    <xf numFmtId="0" fontId="6" fillId="0" borderId="6" xfId="0" applyFont="1" applyBorder="1"/>
    <xf numFmtId="0" fontId="6" fillId="0" borderId="7" xfId="0" applyFont="1" applyBorder="1"/>
    <xf numFmtId="0" fontId="6" fillId="0" borderId="8" xfId="0" applyFont="1" applyBorder="1"/>
    <xf numFmtId="0" fontId="6" fillId="0" borderId="6" xfId="0" applyFont="1" applyBorder="1" applyAlignment="1">
      <alignment horizontal="right"/>
    </xf>
    <xf numFmtId="0" fontId="15" fillId="0" borderId="9" xfId="0" applyFont="1" applyBorder="1"/>
    <xf numFmtId="0" fontId="15" fillId="0" borderId="10" xfId="0" applyFont="1" applyBorder="1"/>
    <xf numFmtId="0" fontId="15" fillId="0" borderId="11" xfId="0" applyFont="1" applyBorder="1"/>
    <xf numFmtId="0" fontId="10" fillId="0" borderId="0" xfId="0" applyFont="1" applyAlignment="1">
      <alignment horizontal="right" vertical="center"/>
    </xf>
    <xf numFmtId="0" fontId="6" fillId="6" borderId="0" xfId="0" applyFont="1" applyFill="1" applyAlignment="1">
      <alignment horizontal="left" vertical="center"/>
    </xf>
    <xf numFmtId="0" fontId="10" fillId="6" borderId="0" xfId="0" applyFont="1" applyFill="1" applyAlignment="1">
      <alignment horizontal="left" vertical="center"/>
    </xf>
    <xf numFmtId="0" fontId="26" fillId="2" borderId="1" xfId="1" applyFont="1" applyAlignment="1" applyProtection="1">
      <alignment horizontal="left" vertical="center"/>
      <protection locked="0"/>
    </xf>
    <xf numFmtId="0" fontId="9" fillId="0" borderId="0" xfId="0" applyFont="1" applyAlignment="1">
      <alignment horizontal="right" vertical="center" wrapText="1"/>
    </xf>
    <xf numFmtId="0" fontId="19" fillId="8" borderId="1" xfId="1" applyNumberFormat="1" applyFont="1" applyFill="1" applyAlignment="1" applyProtection="1">
      <alignment horizontal="left" vertical="center"/>
      <protection locked="0"/>
    </xf>
    <xf numFmtId="0" fontId="9" fillId="4" borderId="3" xfId="0" applyFont="1" applyFill="1" applyBorder="1" applyAlignment="1">
      <alignment horizontal="left" vertical="center" indent="1"/>
    </xf>
    <xf numFmtId="0" fontId="9" fillId="4" borderId="4" xfId="4" applyNumberFormat="1" applyFont="1" applyFill="1" applyBorder="1" applyAlignment="1" applyProtection="1">
      <alignment horizontal="left" vertical="center" indent="1"/>
    </xf>
    <xf numFmtId="0" fontId="9" fillId="0" borderId="0" xfId="4" applyNumberFormat="1" applyFont="1" applyFill="1" applyBorder="1" applyAlignment="1" applyProtection="1">
      <alignment horizontal="left" vertical="center" indent="1"/>
    </xf>
    <xf numFmtId="0" fontId="9" fillId="7" borderId="0" xfId="0" applyFont="1" applyFill="1" applyAlignment="1">
      <alignment horizontal="left" vertical="center" indent="1"/>
    </xf>
    <xf numFmtId="0" fontId="9" fillId="0" borderId="0" xfId="0" applyFont="1" applyAlignment="1">
      <alignment vertical="center"/>
    </xf>
    <xf numFmtId="0" fontId="19" fillId="2" borderId="1" xfId="1" applyFont="1" applyAlignment="1" applyProtection="1">
      <alignment horizontal="left" vertical="center" wrapText="1"/>
      <protection locked="0"/>
    </xf>
    <xf numFmtId="0" fontId="9" fillId="0" borderId="0" xfId="0" applyFont="1" applyAlignment="1">
      <alignment horizontal="left" vertical="center"/>
    </xf>
    <xf numFmtId="0" fontId="9" fillId="4" borderId="5" xfId="0" applyFont="1" applyFill="1" applyBorder="1" applyAlignment="1">
      <alignment horizontal="left" vertical="center" indent="1"/>
    </xf>
    <xf numFmtId="0" fontId="9" fillId="4" borderId="4" xfId="0" applyFont="1" applyFill="1" applyBorder="1" applyAlignment="1">
      <alignment horizontal="left" vertical="center" indent="1"/>
    </xf>
    <xf numFmtId="0" fontId="9" fillId="0" borderId="0" xfId="0" applyFont="1" applyAlignment="1">
      <alignment horizontal="left" vertical="center" wrapText="1" indent="1"/>
    </xf>
    <xf numFmtId="0" fontId="9" fillId="4" borderId="3" xfId="4" applyNumberFormat="1" applyFont="1" applyFill="1" applyBorder="1" applyAlignment="1" applyProtection="1">
      <alignment horizontal="left" vertical="center" indent="1"/>
    </xf>
    <xf numFmtId="0" fontId="9" fillId="4" borderId="5" xfId="4" applyNumberFormat="1" applyFont="1" applyFill="1" applyBorder="1" applyAlignment="1" applyProtection="1">
      <alignment horizontal="left" vertical="center" indent="1"/>
    </xf>
    <xf numFmtId="0" fontId="9" fillId="6" borderId="3" xfId="4" applyNumberFormat="1" applyFont="1" applyFill="1" applyBorder="1" applyAlignment="1" applyProtection="1">
      <alignment horizontal="left" vertical="center"/>
    </xf>
    <xf numFmtId="0" fontId="27" fillId="0" borderId="0" xfId="0" applyFont="1"/>
    <xf numFmtId="10" fontId="9" fillId="4" borderId="3" xfId="3" applyNumberFormat="1" applyFont="1" applyFill="1" applyBorder="1" applyAlignment="1" applyProtection="1">
      <alignment horizontal="left" vertical="center" indent="1"/>
    </xf>
    <xf numFmtId="0" fontId="7" fillId="0" borderId="0" xfId="0" applyFont="1" applyAlignment="1">
      <alignment horizontal="right" vertical="center"/>
    </xf>
    <xf numFmtId="0" fontId="30" fillId="0" borderId="0" xfId="0" applyFont="1" applyAlignment="1">
      <alignment horizontal="center" vertical="center"/>
    </xf>
    <xf numFmtId="0" fontId="6" fillId="0" borderId="0" xfId="0" applyFont="1" applyAlignment="1">
      <alignment horizontal="center" vertical="center"/>
    </xf>
    <xf numFmtId="0" fontId="30" fillId="0" borderId="0" xfId="0" applyFont="1" applyAlignment="1">
      <alignment horizontal="right" vertical="center"/>
    </xf>
    <xf numFmtId="0" fontId="30" fillId="0" borderId="0" xfId="0" applyFont="1" applyAlignment="1">
      <alignment horizontal="right" vertical="center" wrapText="1"/>
    </xf>
    <xf numFmtId="0" fontId="11" fillId="0" borderId="0" xfId="0" applyFont="1" applyAlignment="1">
      <alignment vertical="center" wrapText="1"/>
    </xf>
    <xf numFmtId="0" fontId="11" fillId="0" borderId="0" xfId="0" applyFont="1" applyAlignment="1">
      <alignment horizontal="right" vertical="center"/>
    </xf>
    <xf numFmtId="0" fontId="11" fillId="0" borderId="0" xfId="0" applyFont="1" applyAlignment="1">
      <alignment vertical="center"/>
    </xf>
    <xf numFmtId="0" fontId="29" fillId="0" borderId="0" xfId="0" applyFont="1" applyAlignment="1">
      <alignment horizontal="right" vertical="center"/>
    </xf>
    <xf numFmtId="0" fontId="29" fillId="0" borderId="0" xfId="0" applyFont="1" applyAlignment="1">
      <alignment horizontal="right" vertical="center" wrapText="1"/>
    </xf>
    <xf numFmtId="0" fontId="8" fillId="0" borderId="0" xfId="0" applyFont="1" applyAlignment="1">
      <alignment horizontal="right" vertical="center"/>
    </xf>
    <xf numFmtId="0" fontId="8" fillId="0" borderId="0" xfId="0" applyFont="1" applyAlignment="1">
      <alignment vertical="center"/>
    </xf>
    <xf numFmtId="0" fontId="23" fillId="0" borderId="0" xfId="0" applyFont="1" applyAlignment="1">
      <alignment horizontal="right" vertical="center"/>
    </xf>
    <xf numFmtId="0" fontId="11" fillId="4" borderId="3" xfId="0" applyFont="1" applyFill="1" applyBorder="1" applyAlignment="1">
      <alignment horizontal="center" vertical="center"/>
    </xf>
    <xf numFmtId="0" fontId="33" fillId="4" borderId="3" xfId="0" applyFont="1" applyFill="1" applyBorder="1" applyAlignment="1">
      <alignment horizontal="center" vertical="center"/>
    </xf>
    <xf numFmtId="0" fontId="34" fillId="0" borderId="0" xfId="0" applyFont="1" applyAlignment="1">
      <alignment horizontal="center"/>
    </xf>
    <xf numFmtId="2" fontId="11" fillId="4" borderId="3" xfId="0" applyNumberFormat="1" applyFont="1" applyFill="1" applyBorder="1" applyAlignment="1">
      <alignment horizontal="center" vertical="center"/>
    </xf>
    <xf numFmtId="0" fontId="14" fillId="0" borderId="0" xfId="0" applyFont="1" applyAlignment="1">
      <alignment horizontal="right" vertical="center"/>
    </xf>
    <xf numFmtId="0" fontId="9" fillId="4" borderId="3" xfId="4" applyNumberFormat="1" applyFont="1" applyFill="1" applyBorder="1" applyAlignment="1" applyProtection="1">
      <alignment horizontal="center" vertical="center"/>
    </xf>
    <xf numFmtId="2" fontId="11" fillId="4" borderId="3" xfId="4" applyNumberFormat="1" applyFont="1" applyFill="1" applyBorder="1" applyAlignment="1" applyProtection="1">
      <alignment horizontal="center" vertical="center"/>
    </xf>
    <xf numFmtId="0" fontId="36" fillId="0" borderId="0" xfId="0" applyFont="1" applyAlignment="1">
      <alignment horizontal="right" vertical="center"/>
    </xf>
    <xf numFmtId="0" fontId="36" fillId="0" borderId="0" xfId="0" applyFont="1" applyAlignment="1">
      <alignment horizontal="center" vertical="center"/>
    </xf>
    <xf numFmtId="0" fontId="20" fillId="0" borderId="0" xfId="0" applyFont="1" applyAlignment="1">
      <alignment vertical="center"/>
    </xf>
    <xf numFmtId="0" fontId="9" fillId="0" borderId="3" xfId="4" applyNumberFormat="1" applyFont="1" applyFill="1" applyBorder="1" applyAlignment="1" applyProtection="1">
      <alignment horizontal="center" vertical="center"/>
    </xf>
    <xf numFmtId="2" fontId="6" fillId="4" borderId="3" xfId="4" applyNumberFormat="1" applyFont="1" applyFill="1" applyBorder="1" applyAlignment="1" applyProtection="1">
      <alignment horizontal="left" vertical="center"/>
    </xf>
    <xf numFmtId="0" fontId="37" fillId="11" borderId="0" xfId="0" applyFont="1" applyFill="1"/>
    <xf numFmtId="0" fontId="38" fillId="11" borderId="0" xfId="0" applyFont="1" applyFill="1" applyAlignment="1">
      <alignment horizontal="left" vertical="center"/>
    </xf>
    <xf numFmtId="167" fontId="0" fillId="0" borderId="0" xfId="0" applyNumberFormat="1"/>
    <xf numFmtId="0" fontId="5" fillId="10" borderId="0" xfId="6"/>
    <xf numFmtId="167" fontId="5" fillId="10" borderId="0" xfId="6" applyNumberFormat="1"/>
    <xf numFmtId="2" fontId="11" fillId="4" borderId="0" xfId="0" applyNumberFormat="1" applyFont="1" applyFill="1" applyAlignment="1">
      <alignment horizontal="center" vertical="center"/>
    </xf>
    <xf numFmtId="2" fontId="35" fillId="4" borderId="0" xfId="0" applyNumberFormat="1" applyFont="1" applyFill="1" applyAlignment="1">
      <alignment horizontal="center" vertical="center"/>
    </xf>
    <xf numFmtId="0" fontId="34" fillId="0" borderId="0" xfId="0" applyFont="1"/>
    <xf numFmtId="0" fontId="35" fillId="0" borderId="0" xfId="0" applyFont="1" applyAlignment="1">
      <alignment horizontal="right" vertical="center"/>
    </xf>
    <xf numFmtId="2" fontId="35" fillId="0" borderId="0" xfId="0" applyNumberFormat="1" applyFont="1" applyAlignment="1">
      <alignment horizontal="center" vertical="center"/>
    </xf>
    <xf numFmtId="0" fontId="0" fillId="0" borderId="20" xfId="0" applyBorder="1"/>
    <xf numFmtId="0" fontId="10" fillId="0" borderId="21" xfId="0" applyFont="1" applyBorder="1" applyAlignment="1">
      <alignment horizontal="right" vertical="center"/>
    </xf>
    <xf numFmtId="0" fontId="10" fillId="0" borderId="0" xfId="0" applyFont="1" applyAlignment="1">
      <alignment horizontal="left" vertical="center"/>
    </xf>
    <xf numFmtId="167" fontId="10" fillId="0" borderId="0" xfId="0" applyNumberFormat="1" applyFont="1" applyAlignment="1">
      <alignment horizontal="left" vertical="center"/>
    </xf>
    <xf numFmtId="170" fontId="10" fillId="0" borderId="0" xfId="0" applyNumberFormat="1" applyFont="1" applyAlignment="1">
      <alignment horizontal="left" vertical="center"/>
    </xf>
    <xf numFmtId="169" fontId="10" fillId="0" borderId="0" xfId="0" applyNumberFormat="1" applyFont="1" applyAlignment="1">
      <alignment horizontal="left" vertical="center"/>
    </xf>
    <xf numFmtId="168" fontId="10" fillId="0" borderId="0" xfId="0" applyNumberFormat="1" applyFont="1" applyAlignment="1">
      <alignment horizontal="left" vertical="center"/>
    </xf>
    <xf numFmtId="0" fontId="10" fillId="0" borderId="22" xfId="0" applyFont="1" applyBorder="1" applyAlignment="1">
      <alignment horizontal="right" vertical="center"/>
    </xf>
    <xf numFmtId="0" fontId="10" fillId="0" borderId="23" xfId="0" applyFont="1" applyBorder="1" applyAlignment="1">
      <alignment horizontal="right" vertical="center"/>
    </xf>
    <xf numFmtId="0" fontId="0" fillId="0" borderId="23" xfId="0" applyBorder="1"/>
    <xf numFmtId="0" fontId="0" fillId="0" borderId="24" xfId="0" applyBorder="1"/>
    <xf numFmtId="170" fontId="36" fillId="0" borderId="0" xfId="0" applyNumberFormat="1" applyFont="1" applyAlignment="1">
      <alignment horizontal="left" vertical="center"/>
    </xf>
    <xf numFmtId="0" fontId="31" fillId="0" borderId="0" xfId="0" applyFont="1" applyAlignment="1">
      <alignment horizontal="right"/>
    </xf>
    <xf numFmtId="2" fontId="11" fillId="4" borderId="3" xfId="4" applyNumberFormat="1" applyFont="1" applyFill="1" applyBorder="1" applyAlignment="1" applyProtection="1">
      <alignment horizontal="left" vertical="center"/>
    </xf>
    <xf numFmtId="1" fontId="11" fillId="4" borderId="3" xfId="4" applyNumberFormat="1" applyFont="1" applyFill="1" applyBorder="1" applyAlignment="1" applyProtection="1">
      <alignment horizontal="center" vertical="center"/>
    </xf>
    <xf numFmtId="1" fontId="0" fillId="0" borderId="0" xfId="0" applyNumberFormat="1" applyAlignment="1">
      <alignment horizontal="center"/>
    </xf>
    <xf numFmtId="0" fontId="8" fillId="0" borderId="0" xfId="0" applyFont="1" applyAlignment="1">
      <alignment vertical="center" wrapText="1"/>
    </xf>
    <xf numFmtId="0" fontId="26" fillId="2" borderId="1" xfId="1" applyFont="1" applyAlignment="1" applyProtection="1">
      <alignment horizontal="center" vertical="center"/>
      <protection locked="0"/>
    </xf>
    <xf numFmtId="0" fontId="25" fillId="2" borderId="1" xfId="1" applyFont="1" applyAlignment="1" applyProtection="1">
      <alignment horizontal="center" vertical="center"/>
      <protection locked="0"/>
    </xf>
    <xf numFmtId="0" fontId="3" fillId="13" borderId="0" xfId="10"/>
    <xf numFmtId="0" fontId="3" fillId="12" borderId="0" xfId="9"/>
    <xf numFmtId="0" fontId="0" fillId="0" borderId="0" xfId="0" applyAlignment="1">
      <alignment horizontal="left"/>
    </xf>
    <xf numFmtId="172" fontId="0" fillId="0" borderId="0" xfId="0" applyNumberFormat="1"/>
    <xf numFmtId="9" fontId="0" fillId="0" borderId="0" xfId="3" applyFont="1"/>
    <xf numFmtId="0" fontId="0" fillId="0" borderId="0" xfId="0" pivotButton="1"/>
    <xf numFmtId="0" fontId="0" fillId="14" borderId="0" xfId="0" applyFill="1"/>
    <xf numFmtId="0" fontId="40" fillId="14" borderId="0" xfId="0" applyFont="1" applyFill="1" applyAlignment="1">
      <alignment horizontal="center" vertical="center"/>
    </xf>
    <xf numFmtId="0" fontId="46" fillId="14" borderId="0" xfId="0" applyFont="1" applyFill="1"/>
    <xf numFmtId="170" fontId="48" fillId="14" borderId="0" xfId="11" applyNumberFormat="1" applyFont="1" applyFill="1" applyAlignment="1">
      <alignment horizontal="center" vertical="center"/>
    </xf>
    <xf numFmtId="0" fontId="48" fillId="14" borderId="0" xfId="0" applyFont="1" applyFill="1" applyAlignment="1">
      <alignment horizontal="center" vertical="center"/>
    </xf>
    <xf numFmtId="7" fontId="48" fillId="14" borderId="0" xfId="11" applyNumberFormat="1" applyFont="1" applyFill="1" applyAlignment="1">
      <alignment horizontal="center" vertical="center"/>
    </xf>
    <xf numFmtId="0" fontId="0" fillId="15" borderId="28" xfId="0" applyFill="1" applyBorder="1"/>
    <xf numFmtId="0" fontId="6" fillId="15" borderId="28" xfId="0" applyFont="1" applyFill="1" applyBorder="1"/>
    <xf numFmtId="0" fontId="6" fillId="0" borderId="26" xfId="0" applyFont="1" applyBorder="1"/>
    <xf numFmtId="0" fontId="6" fillId="0" borderId="25" xfId="0" applyFont="1" applyBorder="1"/>
    <xf numFmtId="0" fontId="50" fillId="0" borderId="0" xfId="0" applyFont="1"/>
    <xf numFmtId="0" fontId="11" fillId="0" borderId="0" xfId="0" applyFont="1"/>
    <xf numFmtId="0" fontId="0" fillId="0" borderId="0" xfId="0" applyProtection="1">
      <protection locked="0"/>
    </xf>
    <xf numFmtId="171" fontId="0" fillId="0" borderId="0" xfId="0" applyNumberFormat="1" applyProtection="1">
      <protection locked="0"/>
    </xf>
    <xf numFmtId="170" fontId="0" fillId="0" borderId="0" xfId="0" applyNumberFormat="1" applyProtection="1">
      <protection locked="0"/>
    </xf>
    <xf numFmtId="14" fontId="0" fillId="0" borderId="0" xfId="0" applyNumberFormat="1" applyProtection="1">
      <protection locked="0"/>
    </xf>
    <xf numFmtId="171" fontId="9" fillId="0" borderId="0" xfId="0" applyNumberFormat="1" applyFont="1" applyAlignment="1">
      <alignment horizontal="right" vertical="center" wrapText="1"/>
    </xf>
    <xf numFmtId="171" fontId="6" fillId="0" borderId="0" xfId="0" applyNumberFormat="1" applyFont="1" applyAlignment="1">
      <alignment horizontal="right" vertical="center" wrapText="1"/>
    </xf>
    <xf numFmtId="171" fontId="19" fillId="8" borderId="1" xfId="1" applyNumberFormat="1" applyFont="1" applyFill="1" applyAlignment="1" applyProtection="1">
      <alignment horizontal="left" vertical="center"/>
      <protection locked="0"/>
    </xf>
    <xf numFmtId="171" fontId="9" fillId="7" borderId="0" xfId="0" applyNumberFormat="1" applyFont="1" applyFill="1" applyAlignment="1">
      <alignment horizontal="left" vertical="center" indent="1"/>
    </xf>
    <xf numFmtId="0" fontId="0" fillId="0" borderId="0" xfId="0" applyAlignment="1">
      <alignment wrapText="1"/>
    </xf>
    <xf numFmtId="0" fontId="1" fillId="0" borderId="0" xfId="0" applyFont="1"/>
    <xf numFmtId="0" fontId="0" fillId="0" borderId="30" xfId="0" applyBorder="1" applyAlignment="1">
      <alignment horizontal="center" vertical="center"/>
    </xf>
    <xf numFmtId="0" fontId="51" fillId="0" borderId="27" xfId="0" applyFont="1" applyBorder="1" applyAlignment="1">
      <alignment horizontal="left" vertical="center"/>
    </xf>
    <xf numFmtId="0" fontId="31" fillId="0" borderId="0" xfId="0" applyFont="1" applyAlignment="1">
      <alignment horizontal="right" wrapText="1"/>
    </xf>
    <xf numFmtId="0" fontId="7" fillId="0" borderId="2" xfId="0" applyFont="1" applyBorder="1" applyAlignment="1">
      <alignment horizontal="center" vertical="center"/>
    </xf>
    <xf numFmtId="0" fontId="43" fillId="0" borderId="0" xfId="0" applyFont="1" applyAlignment="1">
      <alignment horizontal="left" vertical="center" wrapText="1"/>
    </xf>
    <xf numFmtId="0" fontId="39" fillId="11" borderId="0" xfId="0" applyFont="1" applyFill="1" applyAlignment="1">
      <alignment horizontal="center" vertical="center"/>
    </xf>
    <xf numFmtId="0" fontId="40" fillId="11" borderId="0" xfId="0" applyFont="1" applyFill="1" applyAlignment="1">
      <alignment horizontal="center"/>
    </xf>
    <xf numFmtId="167" fontId="42" fillId="11" borderId="0" xfId="0" applyNumberFormat="1" applyFont="1" applyFill="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7" fillId="0" borderId="19" xfId="0" applyFont="1" applyBorder="1" applyAlignment="1">
      <alignment horizontal="center" vertical="center"/>
    </xf>
    <xf numFmtId="0" fontId="11" fillId="0" borderId="0" xfId="0" applyFont="1" applyAlignment="1">
      <alignment horizontal="right" vertical="center" wrapText="1"/>
    </xf>
    <xf numFmtId="0" fontId="8" fillId="0" borderId="0" xfId="0" applyFont="1" applyAlignment="1">
      <alignment horizontal="right" vertical="center" wrapText="1"/>
    </xf>
    <xf numFmtId="0" fontId="11" fillId="0" borderId="2" xfId="0" applyFont="1" applyBorder="1" applyAlignment="1">
      <alignment horizontal="left" vertical="center"/>
    </xf>
    <xf numFmtId="0" fontId="9" fillId="4" borderId="0" xfId="4" applyNumberFormat="1" applyFont="1" applyFill="1" applyBorder="1" applyAlignment="1" applyProtection="1">
      <alignment horizontal="center" vertical="center"/>
    </xf>
    <xf numFmtId="0" fontId="10" fillId="0" borderId="0" xfId="0" applyFont="1" applyAlignment="1">
      <alignment horizontal="right" vertical="center" wrapText="1"/>
    </xf>
    <xf numFmtId="0" fontId="32" fillId="9" borderId="0" xfId="5" applyFont="1" applyAlignment="1">
      <alignment horizontal="center" vertical="center" wrapText="1"/>
    </xf>
    <xf numFmtId="0" fontId="31" fillId="4" borderId="15" xfId="0" applyFont="1" applyFill="1" applyBorder="1" applyAlignment="1">
      <alignment horizontal="center" vertical="center"/>
    </xf>
    <xf numFmtId="0" fontId="31" fillId="4" borderId="0" xfId="0" applyFont="1" applyFill="1" applyAlignment="1">
      <alignment horizontal="center" vertical="center"/>
    </xf>
    <xf numFmtId="0" fontId="31" fillId="4" borderId="3" xfId="0" applyFont="1" applyFill="1" applyBorder="1" applyAlignment="1">
      <alignment horizontal="center" vertical="center"/>
    </xf>
    <xf numFmtId="0" fontId="9" fillId="0" borderId="0" xfId="0" applyFont="1" applyAlignment="1">
      <alignment horizontal="right" vertical="center" wrapText="1"/>
    </xf>
    <xf numFmtId="0" fontId="49" fillId="0" borderId="29" xfId="0" applyFont="1" applyBorder="1" applyAlignment="1">
      <alignment horizontal="center" vertical="center"/>
    </xf>
    <xf numFmtId="0" fontId="24" fillId="0" borderId="2" xfId="0" applyFont="1" applyBorder="1" applyAlignment="1">
      <alignment horizontal="center" vertical="center"/>
    </xf>
    <xf numFmtId="0" fontId="25" fillId="2" borderId="12" xfId="1" applyFont="1" applyBorder="1" applyAlignment="1" applyProtection="1">
      <alignment horizontal="center" vertical="center"/>
      <protection locked="0"/>
    </xf>
    <xf numFmtId="0" fontId="25" fillId="2" borderId="13" xfId="1" applyFont="1" applyBorder="1" applyAlignment="1" applyProtection="1">
      <alignment horizontal="center" vertical="center"/>
      <protection locked="0"/>
    </xf>
    <xf numFmtId="0" fontId="25" fillId="2" borderId="14" xfId="1" applyFont="1" applyBorder="1" applyAlignment="1" applyProtection="1">
      <alignment horizontal="center" vertical="center"/>
      <protection locked="0"/>
    </xf>
    <xf numFmtId="14" fontId="23" fillId="4" borderId="3" xfId="0" applyNumberFormat="1" applyFont="1" applyFill="1" applyBorder="1" applyAlignment="1">
      <alignment horizontal="center" vertical="center"/>
    </xf>
    <xf numFmtId="0" fontId="45" fillId="0" borderId="31" xfId="8" applyFont="1" applyBorder="1" applyAlignment="1">
      <alignment horizontal="center" vertical="center"/>
    </xf>
    <xf numFmtId="0" fontId="11" fillId="0" borderId="31" xfId="0" applyFont="1" applyBorder="1" applyAlignment="1">
      <alignment horizontal="right" vertical="center" wrapText="1"/>
    </xf>
    <xf numFmtId="0" fontId="0" fillId="0" borderId="29" xfId="0" applyBorder="1" applyAlignment="1">
      <alignment horizontal="center" vertical="center"/>
    </xf>
    <xf numFmtId="0" fontId="0" fillId="0" borderId="0" xfId="0" applyAlignment="1">
      <alignment horizontal="center" vertical="center"/>
    </xf>
    <xf numFmtId="0" fontId="31" fillId="0" borderId="29" xfId="0" applyFont="1" applyBorder="1" applyAlignment="1">
      <alignment horizontal="right" wrapText="1"/>
    </xf>
    <xf numFmtId="0" fontId="0" fillId="14" borderId="0" xfId="0" applyFill="1" applyAlignment="1">
      <alignment horizontal="center" vertical="center"/>
    </xf>
    <xf numFmtId="0" fontId="47" fillId="14" borderId="0" xfId="0" applyFont="1" applyFill="1" applyAlignment="1">
      <alignment horizontal="center"/>
    </xf>
    <xf numFmtId="0" fontId="3" fillId="14" borderId="0" xfId="0" applyFont="1" applyFill="1" applyAlignment="1">
      <alignment horizontal="center"/>
    </xf>
  </cellXfs>
  <cellStyles count="12">
    <cellStyle name="20% - Accent1" xfId="6" builtinId="30"/>
    <cellStyle name="Accent1" xfId="9" builtinId="29"/>
    <cellStyle name="Accent4" xfId="10" builtinId="41"/>
    <cellStyle name="Accent5" xfId="2" builtinId="45"/>
    <cellStyle name="Bad" xfId="5" builtinId="27"/>
    <cellStyle name="Comma" xfId="4" builtinId="3"/>
    <cellStyle name="Currency" xfId="11" builtinId="4"/>
    <cellStyle name="Hyperlink" xfId="8" builtinId="8"/>
    <cellStyle name="Input" xfId="1" builtinId="20"/>
    <cellStyle name="Normal" xfId="0" builtinId="0"/>
    <cellStyle name="Percent" xfId="3" builtinId="5"/>
    <cellStyle name="Style 1" xfId="7" xr:uid="{D6C2AA0E-716C-48AC-94E1-ADD748C11E21}"/>
  </cellStyles>
  <dxfs count="38">
    <dxf>
      <fill>
        <patternFill>
          <bgColor rgb="FFE2EFDA"/>
        </patternFill>
      </fill>
    </dxf>
    <dxf>
      <fill>
        <patternFill>
          <bgColor rgb="FFE2EFDA"/>
        </patternFill>
      </fill>
    </dxf>
    <dxf>
      <numFmt numFmtId="167" formatCode="&quot;RM&quo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quot;RM&quot;#,##0"/>
    </dxf>
    <dxf>
      <numFmt numFmtId="0" formatCode="General"/>
    </dxf>
    <dxf>
      <protection locked="0" hidden="0"/>
    </dxf>
    <dxf>
      <numFmt numFmtId="170" formatCode="&quot;RM&quot;#,##0.00"/>
      <protection locked="0" hidden="0"/>
    </dxf>
    <dxf>
      <numFmt numFmtId="170" formatCode="&quot;RM&quot;#,##0.00"/>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19" formatCode="d/m/yyyy"/>
      <protection locked="0" hidden="0"/>
    </dxf>
    <dxf>
      <protection locked="0" hidden="0"/>
    </dxf>
    <dxf>
      <protection locked="0"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color rgb="FFFF0000"/>
      </font>
    </dxf>
    <dxf>
      <fill>
        <patternFill>
          <bgColor rgb="FFE2EFDA"/>
        </patternFill>
      </fill>
    </dxf>
    <dxf>
      <fill>
        <patternFill>
          <bgColor rgb="FFE2EFDA"/>
        </patternFill>
      </fill>
    </dxf>
    <dxf>
      <font>
        <color rgb="FFFF0000"/>
      </font>
    </dxf>
    <dxf>
      <font>
        <b/>
        <color theme="1"/>
      </font>
      <border diagonalUp="0" diagonalDown="0">
        <left/>
        <right/>
        <top/>
        <bottom/>
        <vertical/>
        <horizontal/>
      </border>
    </dxf>
    <dxf>
      <font>
        <color theme="1"/>
      </font>
      <border diagonalUp="0" diagonalDown="0">
        <left/>
        <right/>
        <top/>
        <bottom/>
        <vertical/>
        <horizontal/>
      </border>
    </dxf>
  </dxfs>
  <tableStyles count="1" defaultTableStyle="TableStyleMedium2" defaultPivotStyle="PivotStyleLight16">
    <tableStyle name="ExpenseStyle" pivot="0" table="0" count="10" xr9:uid="{5F216985-3DD9-491B-A0F8-9C19A06C1702}">
      <tableStyleElement type="wholeTable" dxfId="37"/>
      <tableStyleElement type="headerRow" dxfId="36"/>
    </tableStyle>
  </tableStyles>
  <colors>
    <mruColors>
      <color rgb="FFE2EFDA"/>
      <color rgb="FF585858"/>
    </mruColors>
  </colors>
  <extLst>
    <ext xmlns:x14="http://schemas.microsoft.com/office/spreadsheetml/2009/9/main" uri="{46F421CA-312F-682f-3DD2-61675219B42D}">
      <x14:dxfs count="8">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Expense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onnections" Target="connections.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22/10/relationships/richValueRel" Target="richData/richValueRel.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20/07/relationships/rdRichValueWebImage" Target="richData/rdRichValueWebImage.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MY" sz="2800"/>
              <a:t>Expense Based Tax Relief</a:t>
            </a:r>
            <a:r>
              <a:rPr lang="en-MY" sz="2800" baseline="0"/>
              <a:t> Breakdown</a:t>
            </a:r>
            <a:endParaRPr lang="en-MY" sz="2800"/>
          </a:p>
        </c:rich>
      </c:tx>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4C0-45F3-A8B0-BC2DB1C67F5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4C0-45F3-A8B0-BC2DB1C67F5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4C0-45F3-A8B0-BC2DB1C67F5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4C0-45F3-A8B0-BC2DB1C67F5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4C0-45F3-A8B0-BC2DB1C67F5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4C0-45F3-A8B0-BC2DB1C67F5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7D6-4EF1-BC96-9D68CBDB4475}"/>
              </c:ext>
            </c:extLst>
          </c:dPt>
          <c:dLbls>
            <c:dLbl>
              <c:idx val="2"/>
              <c:layout>
                <c:manualLayout>
                  <c:x val="6.2938595404430933E-2"/>
                  <c:y val="-3.446969902587085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4C0-45F3-A8B0-BC2DB1C67F50}"/>
                </c:ext>
              </c:extLst>
            </c:dLbl>
            <c:dLbl>
              <c:idx val="5"/>
              <c:layout>
                <c:manualLayout>
                  <c:x val="-3.9912280012566019E-2"/>
                  <c:y val="-3.181818371618858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B4C0-45F3-A8B0-BC2DB1C67F5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4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'Tables (Tax Relief)'!$P$2:$P$8</c:f>
              <c:strCache>
                <c:ptCount val="7"/>
                <c:pt idx="0">
                  <c:v>Net deposit in SSPN</c:v>
                </c:pt>
                <c:pt idx="1">
                  <c:v>EPF</c:v>
                </c:pt>
                <c:pt idx="2">
                  <c:v>Kindergarden (6yo and below)</c:v>
                </c:pt>
                <c:pt idx="3">
                  <c:v>Life Insurance</c:v>
                </c:pt>
                <c:pt idx="4">
                  <c:v>PRS</c:v>
                </c:pt>
                <c:pt idx="5">
                  <c:v>Education and medical insurance</c:v>
                </c:pt>
                <c:pt idx="6">
                  <c:v>Others</c:v>
                </c:pt>
              </c:strCache>
            </c:strRef>
          </c:cat>
          <c:val>
            <c:numRef>
              <c:f>'Tables (Tax Relief)'!$Q$2:$Q$8</c:f>
              <c:numCache>
                <c:formatCode>General</c:formatCode>
                <c:ptCount val="7"/>
                <c:pt idx="0">
                  <c:v>5000</c:v>
                </c:pt>
                <c:pt idx="1">
                  <c:v>4000</c:v>
                </c:pt>
                <c:pt idx="2">
                  <c:v>3000</c:v>
                </c:pt>
                <c:pt idx="3">
                  <c:v>3000</c:v>
                </c:pt>
                <c:pt idx="4">
                  <c:v>3000</c:v>
                </c:pt>
                <c:pt idx="5">
                  <c:v>3000</c:v>
                </c:pt>
                <c:pt idx="6">
                  <c:v>3150</c:v>
                </c:pt>
              </c:numCache>
            </c:numRef>
          </c:val>
          <c:extLst>
            <c:ext xmlns:c16="http://schemas.microsoft.com/office/drawing/2014/chart" uri="{C3380CC4-5D6E-409C-BE32-E72D297353CC}">
              <c16:uniqueId val="{00000012-B4C0-45F3-A8B0-BC2DB1C67F50}"/>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spPr>
            <a:gradFill>
              <a:gsLst>
                <a:gs pos="18000">
                  <a:schemeClr val="accent5">
                    <a:lumMod val="75000"/>
                  </a:schemeClr>
                </a:gs>
                <a:gs pos="100000">
                  <a:schemeClr val="accent1">
                    <a:lumMod val="30000"/>
                    <a:lumOff val="70000"/>
                  </a:schemeClr>
                </a:gs>
              </a:gsLst>
              <a:lin ang="10800000" scaled="0"/>
            </a:gradFill>
            <a:ln w="31750">
              <a:noFill/>
            </a:ln>
            <a:effectLst/>
          </c:spPr>
          <c:dLbls>
            <c:delete val="1"/>
          </c:dLbls>
          <c:cat>
            <c:strRef>
              <c:f>'Pivot Tables'!$AA$2:$AA$14</c:f>
              <c:strCache>
                <c:ptCount val="13"/>
                <c:pt idx="0">
                  <c:v>Month</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 Tables'!$AB$2:$AB$14</c:f>
              <c:numCache>
                <c:formatCode>General</c:formatCode>
                <c:ptCount val="13"/>
                <c:pt idx="0">
                  <c:v>0</c:v>
                </c:pt>
                <c:pt idx="1">
                  <c:v>434</c:v>
                </c:pt>
                <c:pt idx="2">
                  <c:v>51</c:v>
                </c:pt>
                <c:pt idx="3">
                  <c:v>484</c:v>
                </c:pt>
                <c:pt idx="4">
                  <c:v>124</c:v>
                </c:pt>
                <c:pt idx="5">
                  <c:v>34</c:v>
                </c:pt>
                <c:pt idx="6">
                  <c:v>210</c:v>
                </c:pt>
                <c:pt idx="7">
                  <c:v>180</c:v>
                </c:pt>
                <c:pt idx="8">
                  <c:v>240</c:v>
                </c:pt>
                <c:pt idx="9">
                  <c:v>75</c:v>
                </c:pt>
                <c:pt idx="10">
                  <c:v>79</c:v>
                </c:pt>
                <c:pt idx="11">
                  <c:v>255</c:v>
                </c:pt>
                <c:pt idx="12">
                  <c:v>1051</c:v>
                </c:pt>
              </c:numCache>
            </c:numRef>
          </c:val>
          <c:extLst>
            <c:ext xmlns:c16="http://schemas.microsoft.com/office/drawing/2014/chart" uri="{C3380CC4-5D6E-409C-BE32-E72D297353CC}">
              <c16:uniqueId val="{00000000-3219-418B-8C57-E6FD39FECD8F}"/>
            </c:ext>
          </c:extLst>
        </c:ser>
        <c:dLbls>
          <c:showLegendKey val="0"/>
          <c:showVal val="1"/>
          <c:showCatName val="0"/>
          <c:showSerName val="0"/>
          <c:showPercent val="0"/>
          <c:showBubbleSize val="0"/>
        </c:dLbls>
        <c:axId val="1442869952"/>
        <c:axId val="1594394880"/>
      </c:areaChart>
      <c:lineChart>
        <c:grouping val="standard"/>
        <c:varyColors val="0"/>
        <c:ser>
          <c:idx val="1"/>
          <c:order val="1"/>
          <c:spPr>
            <a:ln w="28575" cap="rnd">
              <a:solidFill>
                <a:schemeClr val="accent4">
                  <a:lumMod val="40000"/>
                  <a:lumOff val="6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7778-4B6A-8B80-734CC6BBA3C3}"/>
                </c:ext>
              </c:extLst>
            </c:dLbl>
            <c:numFmt formatCode="\$#,##0.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Tables'!$AA$2:$AA$14</c:f>
              <c:strCache>
                <c:ptCount val="13"/>
                <c:pt idx="0">
                  <c:v>Month</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 Tables'!$AB$2:$AB$14</c:f>
              <c:numCache>
                <c:formatCode>General</c:formatCode>
                <c:ptCount val="13"/>
                <c:pt idx="0">
                  <c:v>0</c:v>
                </c:pt>
                <c:pt idx="1">
                  <c:v>434</c:v>
                </c:pt>
                <c:pt idx="2">
                  <c:v>51</c:v>
                </c:pt>
                <c:pt idx="3">
                  <c:v>484</c:v>
                </c:pt>
                <c:pt idx="4">
                  <c:v>124</c:v>
                </c:pt>
                <c:pt idx="5">
                  <c:v>34</c:v>
                </c:pt>
                <c:pt idx="6">
                  <c:v>210</c:v>
                </c:pt>
                <c:pt idx="7">
                  <c:v>180</c:v>
                </c:pt>
                <c:pt idx="8">
                  <c:v>240</c:v>
                </c:pt>
                <c:pt idx="9">
                  <c:v>75</c:v>
                </c:pt>
                <c:pt idx="10">
                  <c:v>79</c:v>
                </c:pt>
                <c:pt idx="11">
                  <c:v>255</c:v>
                </c:pt>
                <c:pt idx="12">
                  <c:v>1051</c:v>
                </c:pt>
              </c:numCache>
            </c:numRef>
          </c:val>
          <c:smooth val="0"/>
          <c:extLst>
            <c:ext xmlns:c16="http://schemas.microsoft.com/office/drawing/2014/chart" uri="{C3380CC4-5D6E-409C-BE32-E72D297353CC}">
              <c16:uniqueId val="{00000001-3219-418B-8C57-E6FD39FECD8F}"/>
            </c:ext>
          </c:extLst>
        </c:ser>
        <c:dLbls>
          <c:showLegendKey val="0"/>
          <c:showVal val="1"/>
          <c:showCatName val="0"/>
          <c:showSerName val="0"/>
          <c:showPercent val="0"/>
          <c:showBubbleSize val="0"/>
        </c:dLbls>
        <c:marker val="1"/>
        <c:smooth val="0"/>
        <c:axId val="1442869952"/>
        <c:axId val="1594394880"/>
      </c:lineChart>
      <c:dateAx>
        <c:axId val="1442869952"/>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94394880"/>
        <c:crosses val="autoZero"/>
        <c:auto val="0"/>
        <c:lblOffset val="100"/>
        <c:baseTimeUnit val="days"/>
      </c:dateAx>
      <c:valAx>
        <c:axId val="1594394880"/>
        <c:scaling>
          <c:orientation val="minMax"/>
        </c:scaling>
        <c:delete val="1"/>
        <c:axPos val="l"/>
        <c:numFmt formatCode="General" sourceLinked="1"/>
        <c:majorTickMark val="out"/>
        <c:minorTickMark val="none"/>
        <c:tickLblPos val="nextTo"/>
        <c:crossAx val="1442869952"/>
        <c:crosses val="autoZero"/>
        <c:crossBetween val="between"/>
      </c:valAx>
      <c:spPr>
        <a:noFill/>
        <a:ln w="25400">
          <a:noFill/>
        </a:ln>
        <a:effectLst/>
      </c:spPr>
    </c:plotArea>
    <c:plotVisOnly val="1"/>
    <c:dispBlanksAs val="zero"/>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V6 Pw-1.xlsm]Pivot Tables!ExpensesByCategory</c:name>
    <c:fmtId val="24"/>
  </c:pivotSource>
  <c:chart>
    <c:autoTitleDeleted val="1"/>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dLbl>
          <c:idx val="0"/>
          <c:delete val="1"/>
          <c:extLst>
            <c:ext xmlns:c15="http://schemas.microsoft.com/office/drawing/2012/chart" uri="{CE6537A1-D6FC-4f65-9D91-7224C49458BB}"/>
          </c:extLst>
        </c:dLbl>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lumMod val="20000"/>
              <a:lumOff val="80000"/>
            </a:schemeClr>
          </a:solidFill>
          <a:ln w="19050">
            <a:solidFill>
              <a:schemeClr val="lt1"/>
            </a:solidFill>
          </a:ln>
          <a:effectLst/>
        </c:spPr>
      </c:pivotFmt>
      <c:pivotFmt>
        <c:idx val="25"/>
        <c:spPr>
          <a:solidFill>
            <a:schemeClr val="accent2">
              <a:lumMod val="20000"/>
              <a:lumOff val="80000"/>
            </a:schemeClr>
          </a:solidFill>
          <a:ln w="19050">
            <a:solidFill>
              <a:schemeClr val="lt1"/>
            </a:solidFill>
          </a:ln>
          <a:effectLst/>
        </c:spPr>
      </c:pivotFmt>
      <c:pivotFmt>
        <c:idx val="26"/>
        <c:spPr>
          <a:solidFill>
            <a:srgbClr val="F96E6B"/>
          </a:solidFill>
          <a:ln w="19050">
            <a:solidFill>
              <a:schemeClr val="lt1"/>
            </a:solidFill>
          </a:ln>
          <a:effectLst/>
        </c:spPr>
      </c:pivotFmt>
      <c:pivotFmt>
        <c:idx val="27"/>
        <c:spPr>
          <a:solidFill>
            <a:srgbClr val="F8AF6C"/>
          </a:solidFill>
          <a:ln w="19050">
            <a:solidFill>
              <a:schemeClr val="lt1"/>
            </a:solidFill>
          </a:ln>
          <a:effectLst/>
        </c:spPr>
      </c:pivotFmt>
      <c:pivotFmt>
        <c:idx val="28"/>
        <c:spPr>
          <a:solidFill>
            <a:srgbClr val="ECACE9"/>
          </a:solidFill>
          <a:ln w="19050">
            <a:solidFill>
              <a:schemeClr val="lt1"/>
            </a:solidFill>
          </a:ln>
          <a:effectLst/>
        </c:spPr>
      </c:pivotFmt>
      <c:pivotFmt>
        <c:idx val="29"/>
        <c:spPr>
          <a:solidFill>
            <a:schemeClr val="accent6">
              <a:lumMod val="20000"/>
              <a:lumOff val="80000"/>
            </a:schemeClr>
          </a:solidFill>
          <a:ln w="19050">
            <a:solidFill>
              <a:schemeClr val="lt1"/>
            </a:solidFill>
          </a:ln>
          <a:effectLst/>
        </c:spPr>
      </c:pivotFmt>
      <c:pivotFmt>
        <c:idx val="30"/>
        <c:spPr>
          <a:solidFill>
            <a:schemeClr val="tx2">
              <a:lumMod val="40000"/>
              <a:lumOff val="60000"/>
            </a:schemeClr>
          </a:solidFill>
          <a:ln w="19050">
            <a:solidFill>
              <a:schemeClr val="lt1"/>
            </a:solidFill>
          </a:ln>
          <a:effectLst/>
        </c:spPr>
      </c:pivotFmt>
      <c:pivotFmt>
        <c:idx val="31"/>
        <c:spPr>
          <a:solidFill>
            <a:srgbClr val="F7C5C5"/>
          </a:solidFill>
          <a:ln w="19050">
            <a:solidFill>
              <a:schemeClr val="lt1"/>
            </a:solidFill>
          </a:ln>
          <a:effectLst/>
        </c:spPr>
      </c:pivotFmt>
      <c:pivotFmt>
        <c:idx val="32"/>
        <c:spPr>
          <a:solidFill>
            <a:schemeClr val="bg2">
              <a:lumMod val="90000"/>
            </a:schemeClr>
          </a:solidFill>
          <a:ln w="19050">
            <a:solidFill>
              <a:schemeClr val="lt1"/>
            </a:solidFill>
          </a:ln>
          <a:effectLst/>
        </c:spPr>
      </c:pivotFmt>
      <c:pivotFmt>
        <c:idx val="33"/>
        <c:spPr>
          <a:solidFill>
            <a:schemeClr val="accent4">
              <a:lumMod val="20000"/>
              <a:lumOff val="80000"/>
            </a:schemeClr>
          </a:solidFill>
          <a:ln w="19050">
            <a:solidFill>
              <a:schemeClr val="lt1"/>
            </a:solidFill>
          </a:ln>
          <a:effectLst/>
        </c:spPr>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lumMod val="20000"/>
              <a:lumOff val="80000"/>
            </a:schemeClr>
          </a:solidFill>
          <a:ln w="19050">
            <a:solidFill>
              <a:schemeClr val="lt1"/>
            </a:solidFill>
          </a:ln>
          <a:effectLst/>
        </c:spPr>
      </c:pivotFmt>
      <c:pivotFmt>
        <c:idx val="36"/>
        <c:spPr>
          <a:solidFill>
            <a:schemeClr val="accent2">
              <a:lumMod val="20000"/>
              <a:lumOff val="80000"/>
            </a:schemeClr>
          </a:solidFill>
          <a:ln w="19050">
            <a:solidFill>
              <a:schemeClr val="lt1"/>
            </a:solidFill>
          </a:ln>
          <a:effectLst/>
        </c:spPr>
      </c:pivotFmt>
      <c:pivotFmt>
        <c:idx val="37"/>
        <c:spPr>
          <a:solidFill>
            <a:srgbClr val="F96E6B"/>
          </a:solidFill>
          <a:ln w="19050">
            <a:solidFill>
              <a:schemeClr val="lt1"/>
            </a:solidFill>
          </a:ln>
          <a:effectLst/>
        </c:spPr>
      </c:pivotFmt>
      <c:pivotFmt>
        <c:idx val="38"/>
        <c:spPr>
          <a:solidFill>
            <a:srgbClr val="F8AF6C"/>
          </a:solidFill>
          <a:ln w="19050">
            <a:solidFill>
              <a:schemeClr val="lt1"/>
            </a:solidFill>
          </a:ln>
          <a:effectLst/>
        </c:spPr>
      </c:pivotFmt>
      <c:pivotFmt>
        <c:idx val="39"/>
        <c:spPr>
          <a:solidFill>
            <a:srgbClr val="ECACE9"/>
          </a:solidFill>
          <a:ln w="19050">
            <a:solidFill>
              <a:schemeClr val="lt1"/>
            </a:solidFill>
          </a:ln>
          <a:effectLst/>
        </c:spPr>
      </c:pivotFmt>
      <c:pivotFmt>
        <c:idx val="40"/>
        <c:spPr>
          <a:solidFill>
            <a:schemeClr val="accent6">
              <a:lumMod val="20000"/>
              <a:lumOff val="80000"/>
            </a:schemeClr>
          </a:solidFill>
          <a:ln w="19050">
            <a:solidFill>
              <a:schemeClr val="lt1"/>
            </a:solidFill>
          </a:ln>
          <a:effectLst/>
        </c:spPr>
      </c:pivotFmt>
      <c:pivotFmt>
        <c:idx val="41"/>
        <c:spPr>
          <a:solidFill>
            <a:schemeClr val="tx2">
              <a:lumMod val="40000"/>
              <a:lumOff val="60000"/>
            </a:schemeClr>
          </a:solidFill>
          <a:ln w="19050">
            <a:solidFill>
              <a:schemeClr val="lt1"/>
            </a:solidFill>
          </a:ln>
          <a:effectLst/>
        </c:spPr>
      </c:pivotFmt>
      <c:pivotFmt>
        <c:idx val="42"/>
        <c:spPr>
          <a:solidFill>
            <a:srgbClr val="F7C5C5"/>
          </a:solidFill>
          <a:ln w="19050">
            <a:solidFill>
              <a:schemeClr val="lt1"/>
            </a:solidFill>
          </a:ln>
          <a:effectLst/>
        </c:spPr>
      </c:pivotFmt>
      <c:pivotFmt>
        <c:idx val="43"/>
        <c:spPr>
          <a:solidFill>
            <a:schemeClr val="bg2">
              <a:lumMod val="90000"/>
            </a:schemeClr>
          </a:solidFill>
          <a:ln w="19050">
            <a:solidFill>
              <a:schemeClr val="lt1"/>
            </a:solidFill>
          </a:ln>
          <a:effectLst/>
        </c:spPr>
      </c:pivotFmt>
      <c:pivotFmt>
        <c:idx val="44"/>
        <c:spPr>
          <a:solidFill>
            <a:schemeClr val="accent4">
              <a:lumMod val="20000"/>
              <a:lumOff val="80000"/>
            </a:schemeClr>
          </a:solidFill>
          <a:ln w="19050">
            <a:solidFill>
              <a:schemeClr val="lt1"/>
            </a:solidFill>
          </a:ln>
          <a:effectLst/>
        </c:spPr>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lumMod val="20000"/>
              <a:lumOff val="80000"/>
            </a:schemeClr>
          </a:solidFill>
          <a:ln w="19050">
            <a:solidFill>
              <a:schemeClr val="lt1"/>
            </a:solidFill>
          </a:ln>
          <a:effectLst/>
        </c:spPr>
      </c:pivotFmt>
      <c:pivotFmt>
        <c:idx val="47"/>
        <c:spPr>
          <a:solidFill>
            <a:schemeClr val="accent2">
              <a:lumMod val="20000"/>
              <a:lumOff val="80000"/>
            </a:schemeClr>
          </a:solidFill>
          <a:ln w="19050">
            <a:solidFill>
              <a:schemeClr val="lt1"/>
            </a:solidFill>
          </a:ln>
          <a:effectLst/>
        </c:spPr>
      </c:pivotFmt>
      <c:pivotFmt>
        <c:idx val="48"/>
        <c:spPr>
          <a:solidFill>
            <a:srgbClr val="F96E6B"/>
          </a:solidFill>
          <a:ln w="19050">
            <a:solidFill>
              <a:schemeClr val="lt1"/>
            </a:solidFill>
          </a:ln>
          <a:effectLst/>
        </c:spPr>
      </c:pivotFmt>
      <c:pivotFmt>
        <c:idx val="49"/>
        <c:spPr>
          <a:solidFill>
            <a:srgbClr val="F8AF6C"/>
          </a:solidFill>
          <a:ln w="19050">
            <a:solidFill>
              <a:schemeClr val="lt1"/>
            </a:solidFill>
          </a:ln>
          <a:effectLst/>
        </c:spPr>
      </c:pivotFmt>
      <c:pivotFmt>
        <c:idx val="50"/>
        <c:spPr>
          <a:solidFill>
            <a:srgbClr val="ECACE9"/>
          </a:solidFill>
          <a:ln w="19050">
            <a:solidFill>
              <a:schemeClr val="lt1"/>
            </a:solidFill>
          </a:ln>
          <a:effectLst/>
        </c:spPr>
      </c:pivotFmt>
      <c:pivotFmt>
        <c:idx val="51"/>
        <c:spPr>
          <a:solidFill>
            <a:schemeClr val="accent6">
              <a:lumMod val="20000"/>
              <a:lumOff val="80000"/>
            </a:schemeClr>
          </a:solidFill>
          <a:ln w="19050">
            <a:solidFill>
              <a:schemeClr val="lt1"/>
            </a:solidFill>
          </a:ln>
          <a:effectLst/>
        </c:spPr>
      </c:pivotFmt>
      <c:pivotFmt>
        <c:idx val="52"/>
        <c:spPr>
          <a:solidFill>
            <a:schemeClr val="tx2">
              <a:lumMod val="40000"/>
              <a:lumOff val="60000"/>
            </a:schemeClr>
          </a:solidFill>
          <a:ln w="19050">
            <a:solidFill>
              <a:schemeClr val="lt1"/>
            </a:solidFill>
          </a:ln>
          <a:effectLst/>
        </c:spPr>
      </c:pivotFmt>
      <c:pivotFmt>
        <c:idx val="53"/>
        <c:spPr>
          <a:solidFill>
            <a:srgbClr val="F7C5C5"/>
          </a:solidFill>
          <a:ln w="19050">
            <a:solidFill>
              <a:schemeClr val="lt1"/>
            </a:solidFill>
          </a:ln>
          <a:effectLst/>
        </c:spPr>
      </c:pivotFmt>
      <c:pivotFmt>
        <c:idx val="54"/>
        <c:spPr>
          <a:solidFill>
            <a:schemeClr val="bg2">
              <a:lumMod val="90000"/>
            </a:schemeClr>
          </a:solidFill>
          <a:ln w="19050">
            <a:solidFill>
              <a:schemeClr val="lt1"/>
            </a:solidFill>
          </a:ln>
          <a:effectLst/>
        </c:spPr>
      </c:pivotFmt>
      <c:pivotFmt>
        <c:idx val="55"/>
        <c:spPr>
          <a:solidFill>
            <a:schemeClr val="accent4">
              <a:lumMod val="20000"/>
              <a:lumOff val="80000"/>
            </a:schemeClr>
          </a:solidFill>
          <a:ln w="19050">
            <a:solidFill>
              <a:schemeClr val="lt1"/>
            </a:solidFill>
          </a:ln>
          <a:effectLst/>
        </c:spPr>
      </c:pivotFmt>
      <c:pivotFmt>
        <c:idx val="5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lumMod val="20000"/>
              <a:lumOff val="80000"/>
            </a:schemeClr>
          </a:solidFill>
          <a:ln w="19050">
            <a:solidFill>
              <a:schemeClr val="lt1"/>
            </a:solidFill>
          </a:ln>
          <a:effectLst/>
        </c:spPr>
      </c:pivotFmt>
      <c:pivotFmt>
        <c:idx val="58"/>
        <c:spPr>
          <a:solidFill>
            <a:schemeClr val="accent2">
              <a:lumMod val="20000"/>
              <a:lumOff val="80000"/>
            </a:schemeClr>
          </a:solidFill>
          <a:ln w="19050">
            <a:solidFill>
              <a:schemeClr val="lt1"/>
            </a:solidFill>
          </a:ln>
          <a:effectLst/>
        </c:spPr>
      </c:pivotFmt>
      <c:pivotFmt>
        <c:idx val="59"/>
        <c:spPr>
          <a:solidFill>
            <a:srgbClr val="F96E6B"/>
          </a:solidFill>
          <a:ln w="19050">
            <a:solidFill>
              <a:schemeClr val="lt1"/>
            </a:solidFill>
          </a:ln>
          <a:effectLst/>
        </c:spPr>
      </c:pivotFmt>
      <c:pivotFmt>
        <c:idx val="60"/>
        <c:spPr>
          <a:solidFill>
            <a:srgbClr val="F8AF6C"/>
          </a:solidFill>
          <a:ln w="19050">
            <a:solidFill>
              <a:schemeClr val="lt1"/>
            </a:solidFill>
          </a:ln>
          <a:effectLst/>
        </c:spPr>
      </c:pivotFmt>
      <c:pivotFmt>
        <c:idx val="61"/>
        <c:spPr>
          <a:solidFill>
            <a:srgbClr val="ECACE9"/>
          </a:solidFill>
          <a:ln w="19050">
            <a:solidFill>
              <a:schemeClr val="lt1"/>
            </a:solidFill>
          </a:ln>
          <a:effectLst/>
        </c:spPr>
      </c:pivotFmt>
      <c:pivotFmt>
        <c:idx val="62"/>
        <c:spPr>
          <a:solidFill>
            <a:schemeClr val="accent6">
              <a:lumMod val="20000"/>
              <a:lumOff val="80000"/>
            </a:schemeClr>
          </a:solidFill>
          <a:ln w="19050">
            <a:solidFill>
              <a:schemeClr val="lt1"/>
            </a:solidFill>
          </a:ln>
          <a:effectLst/>
        </c:spPr>
      </c:pivotFmt>
      <c:pivotFmt>
        <c:idx val="63"/>
        <c:spPr>
          <a:solidFill>
            <a:schemeClr val="tx2">
              <a:lumMod val="40000"/>
              <a:lumOff val="60000"/>
            </a:schemeClr>
          </a:solidFill>
          <a:ln w="19050">
            <a:solidFill>
              <a:schemeClr val="lt1"/>
            </a:solidFill>
          </a:ln>
          <a:effectLst/>
        </c:spPr>
      </c:pivotFmt>
      <c:pivotFmt>
        <c:idx val="64"/>
        <c:spPr>
          <a:solidFill>
            <a:srgbClr val="F7C5C5"/>
          </a:solidFill>
          <a:ln w="19050">
            <a:solidFill>
              <a:schemeClr val="lt1"/>
            </a:solidFill>
          </a:ln>
          <a:effectLst/>
        </c:spPr>
      </c:pivotFmt>
      <c:pivotFmt>
        <c:idx val="65"/>
        <c:spPr>
          <a:solidFill>
            <a:schemeClr val="bg2">
              <a:lumMod val="90000"/>
            </a:schemeClr>
          </a:solidFill>
          <a:ln w="19050">
            <a:solidFill>
              <a:schemeClr val="lt1"/>
            </a:solidFill>
          </a:ln>
          <a:effectLst/>
        </c:spPr>
      </c:pivotFmt>
      <c:pivotFmt>
        <c:idx val="66"/>
        <c:spPr>
          <a:solidFill>
            <a:schemeClr val="accent4">
              <a:lumMod val="20000"/>
              <a:lumOff val="80000"/>
            </a:schemeClr>
          </a:solidFill>
          <a:ln w="19050">
            <a:solidFill>
              <a:schemeClr val="lt1"/>
            </a:solidFill>
          </a:ln>
          <a:effectLst/>
        </c:spPr>
      </c:pivotFmt>
    </c:pivotFmts>
    <c:plotArea>
      <c:layout/>
      <c:pieChart>
        <c:varyColors val="1"/>
        <c:ser>
          <c:idx val="0"/>
          <c:order val="0"/>
          <c:tx>
            <c:strRef>
              <c:f>'Pivot Tables'!$I$4</c:f>
              <c:strCache>
                <c:ptCount val="1"/>
                <c:pt idx="0">
                  <c:v>Total</c:v>
                </c:pt>
              </c:strCache>
            </c:strRef>
          </c:tx>
          <c:dPt>
            <c:idx val="0"/>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15-976A-458F-A124-E4566F1E47AB}"/>
              </c:ext>
            </c:extLst>
          </c:dPt>
          <c:dPt>
            <c:idx val="1"/>
            <c:bubble3D val="0"/>
            <c:spPr>
              <a:solidFill>
                <a:schemeClr val="accent2">
                  <a:lumMod val="20000"/>
                  <a:lumOff val="80000"/>
                </a:schemeClr>
              </a:solidFill>
              <a:ln w="19050">
                <a:solidFill>
                  <a:schemeClr val="lt1"/>
                </a:solidFill>
              </a:ln>
              <a:effectLst/>
            </c:spPr>
            <c:extLst>
              <c:ext xmlns:c16="http://schemas.microsoft.com/office/drawing/2014/chart" uri="{C3380CC4-5D6E-409C-BE32-E72D297353CC}">
                <c16:uniqueId val="{00000017-976A-458F-A124-E4566F1E47AB}"/>
              </c:ext>
            </c:extLst>
          </c:dPt>
          <c:dPt>
            <c:idx val="2"/>
            <c:bubble3D val="0"/>
            <c:spPr>
              <a:solidFill>
                <a:srgbClr val="F8AF6C"/>
              </a:solidFill>
              <a:ln w="19050">
                <a:solidFill>
                  <a:schemeClr val="lt1"/>
                </a:solidFill>
              </a:ln>
              <a:effectLst/>
            </c:spPr>
            <c:extLst>
              <c:ext xmlns:c16="http://schemas.microsoft.com/office/drawing/2014/chart" uri="{C3380CC4-5D6E-409C-BE32-E72D297353CC}">
                <c16:uniqueId val="{00000019-976A-458F-A124-E4566F1E47AB}"/>
              </c:ext>
            </c:extLst>
          </c:dPt>
          <c:dPt>
            <c:idx val="3"/>
            <c:bubble3D val="0"/>
            <c:spPr>
              <a:solidFill>
                <a:schemeClr val="accent6">
                  <a:lumMod val="20000"/>
                  <a:lumOff val="80000"/>
                </a:schemeClr>
              </a:solidFill>
              <a:ln w="19050">
                <a:solidFill>
                  <a:schemeClr val="lt1"/>
                </a:solidFill>
              </a:ln>
              <a:effectLst/>
            </c:spPr>
            <c:extLst>
              <c:ext xmlns:c16="http://schemas.microsoft.com/office/drawing/2014/chart" uri="{C3380CC4-5D6E-409C-BE32-E72D297353CC}">
                <c16:uniqueId val="{0000001B-976A-458F-A124-E4566F1E47AB}"/>
              </c:ext>
            </c:extLst>
          </c:dPt>
          <c:dPt>
            <c:idx val="4"/>
            <c:bubble3D val="0"/>
            <c:spPr>
              <a:solidFill>
                <a:schemeClr val="tx2">
                  <a:lumMod val="40000"/>
                  <a:lumOff val="60000"/>
                </a:schemeClr>
              </a:solidFill>
              <a:ln w="19050">
                <a:solidFill>
                  <a:schemeClr val="lt1"/>
                </a:solidFill>
              </a:ln>
              <a:effectLst/>
            </c:spPr>
            <c:extLst>
              <c:ext xmlns:c16="http://schemas.microsoft.com/office/drawing/2014/chart" uri="{C3380CC4-5D6E-409C-BE32-E72D297353CC}">
                <c16:uniqueId val="{0000001D-976A-458F-A124-E4566F1E47AB}"/>
              </c:ext>
            </c:extLst>
          </c:dPt>
          <c:dPt>
            <c:idx val="5"/>
            <c:bubble3D val="0"/>
            <c:spPr>
              <a:solidFill>
                <a:srgbClr val="F7C5C5"/>
              </a:solidFill>
              <a:ln w="19050">
                <a:solidFill>
                  <a:schemeClr val="lt1"/>
                </a:solidFill>
              </a:ln>
              <a:effectLst/>
            </c:spPr>
            <c:extLst>
              <c:ext xmlns:c16="http://schemas.microsoft.com/office/drawing/2014/chart" uri="{C3380CC4-5D6E-409C-BE32-E72D297353CC}">
                <c16:uniqueId val="{0000001F-976A-458F-A124-E4566F1E47AB}"/>
              </c:ext>
            </c:extLst>
          </c:dPt>
          <c:dPt>
            <c:idx val="6"/>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21-976A-458F-A124-E4566F1E47AB}"/>
              </c:ext>
            </c:extLst>
          </c:dPt>
          <c:dPt>
            <c:idx val="7"/>
            <c:bubble3D val="0"/>
            <c:spPr>
              <a:solidFill>
                <a:schemeClr val="accent4">
                  <a:lumMod val="20000"/>
                  <a:lumOff val="80000"/>
                </a:schemeClr>
              </a:solidFill>
              <a:ln w="19050">
                <a:solidFill>
                  <a:schemeClr val="lt1"/>
                </a:solidFill>
              </a:ln>
              <a:effectLst/>
            </c:spPr>
            <c:extLst>
              <c:ext xmlns:c16="http://schemas.microsoft.com/office/drawing/2014/chart" uri="{C3380CC4-5D6E-409C-BE32-E72D297353CC}">
                <c16:uniqueId val="{00000023-976A-458F-A124-E4566F1E47AB}"/>
              </c:ext>
            </c:extLst>
          </c:dPt>
          <c:dPt>
            <c:idx val="8"/>
            <c:bubble3D val="0"/>
            <c:extLst>
              <c:ext xmlns:c16="http://schemas.microsoft.com/office/drawing/2014/chart" uri="{C3380CC4-5D6E-409C-BE32-E72D297353CC}">
                <c16:uniqueId val="{00000025-976A-458F-A124-E4566F1E47AB}"/>
              </c:ext>
            </c:extLst>
          </c:dPt>
          <c:dPt>
            <c:idx val="9"/>
            <c:bubble3D val="0"/>
            <c:extLst>
              <c:ext xmlns:c16="http://schemas.microsoft.com/office/drawing/2014/chart" uri="{C3380CC4-5D6E-409C-BE32-E72D297353CC}">
                <c16:uniqueId val="{00000027-976A-458F-A124-E4566F1E47AB}"/>
              </c:ext>
            </c:extLst>
          </c:dPt>
          <c:dPt>
            <c:idx val="10"/>
            <c:bubble3D val="0"/>
            <c:extLst>
              <c:ext xmlns:c16="http://schemas.microsoft.com/office/drawing/2014/chart" uri="{C3380CC4-5D6E-409C-BE32-E72D297353CC}">
                <c16:uniqueId val="{00000029-976A-458F-A124-E4566F1E47A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Tables'!$H$5:$H$13</c:f>
              <c:strCache>
                <c:ptCount val="8"/>
                <c:pt idx="0">
                  <c:v>Food</c:v>
                </c:pt>
                <c:pt idx="1">
                  <c:v>Education</c:v>
                </c:pt>
                <c:pt idx="2">
                  <c:v>Entertainment</c:v>
                </c:pt>
                <c:pt idx="3">
                  <c:v>Housing</c:v>
                </c:pt>
                <c:pt idx="4">
                  <c:v>Insurance</c:v>
                </c:pt>
                <c:pt idx="5">
                  <c:v>Investment</c:v>
                </c:pt>
                <c:pt idx="6">
                  <c:v>Transportation</c:v>
                </c:pt>
                <c:pt idx="7">
                  <c:v>Utilities</c:v>
                </c:pt>
              </c:strCache>
            </c:strRef>
          </c:cat>
          <c:val>
            <c:numRef>
              <c:f>'Pivot Tables'!$I$5:$I$13</c:f>
              <c:numCache>
                <c:formatCode>General</c:formatCode>
                <c:ptCount val="8"/>
                <c:pt idx="0">
                  <c:v>1939.4</c:v>
                </c:pt>
                <c:pt idx="1">
                  <c:v>5600</c:v>
                </c:pt>
                <c:pt idx="2">
                  <c:v>434</c:v>
                </c:pt>
                <c:pt idx="3">
                  <c:v>1600</c:v>
                </c:pt>
                <c:pt idx="4">
                  <c:v>5100</c:v>
                </c:pt>
                <c:pt idx="5">
                  <c:v>1700</c:v>
                </c:pt>
                <c:pt idx="6">
                  <c:v>1335</c:v>
                </c:pt>
                <c:pt idx="7">
                  <c:v>214.5</c:v>
                </c:pt>
              </c:numCache>
            </c:numRef>
          </c:val>
          <c:extLst>
            <c:ext xmlns:c16="http://schemas.microsoft.com/office/drawing/2014/chart" uri="{C3380CC4-5D6E-409C-BE32-E72D297353CC}">
              <c16:uniqueId val="{0000002A-976A-458F-A124-E4566F1E47AB}"/>
            </c:ext>
          </c:extLst>
        </c:ser>
        <c:dLbls>
          <c:dLblPos val="bestFit"/>
          <c:showLegendKey val="0"/>
          <c:showVal val="1"/>
          <c:showCatName val="0"/>
          <c:showSerName val="0"/>
          <c:showPercent val="0"/>
          <c:showBubbleSize val="0"/>
          <c:showLeaderLines val="1"/>
        </c:dLbls>
        <c:firstSliceAng val="0"/>
      </c:pieChart>
      <c:spPr>
        <a:effectLst>
          <a:softEdge rad="0"/>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solidFill>
        <a:schemeClr val="bg2">
          <a:lumMod val="90000"/>
        </a:schemeClr>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V6 Pw-1.xlsm]Pivot Tables!Recipients</c:name>
    <c:fmtId val="8"/>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Tables'!$T$2</c:f>
              <c:strCache>
                <c:ptCount val="1"/>
                <c:pt idx="0">
                  <c:v>Total</c:v>
                </c:pt>
              </c:strCache>
            </c:strRef>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Tables'!$S$3:$S$7</c:f>
              <c:strCache>
                <c:ptCount val="5"/>
                <c:pt idx="0">
                  <c:v>Public Bank</c:v>
                </c:pt>
                <c:pt idx="1">
                  <c:v>Aeon</c:v>
                </c:pt>
                <c:pt idx="2">
                  <c:v>EPF</c:v>
                </c:pt>
                <c:pt idx="3">
                  <c:v>Great Eastern</c:v>
                </c:pt>
                <c:pt idx="4">
                  <c:v>Little Legends</c:v>
                </c:pt>
              </c:strCache>
            </c:strRef>
          </c:cat>
          <c:val>
            <c:numRef>
              <c:f>'Pivot Tables'!$T$3:$T$7</c:f>
              <c:numCache>
                <c:formatCode>"$"#,##0</c:formatCode>
                <c:ptCount val="5"/>
                <c:pt idx="0">
                  <c:v>33600</c:v>
                </c:pt>
                <c:pt idx="1">
                  <c:v>18527</c:v>
                </c:pt>
                <c:pt idx="2">
                  <c:v>13200</c:v>
                </c:pt>
                <c:pt idx="3">
                  <c:v>10200</c:v>
                </c:pt>
                <c:pt idx="4">
                  <c:v>7200</c:v>
                </c:pt>
              </c:numCache>
            </c:numRef>
          </c:val>
          <c:extLst>
            <c:ext xmlns:c16="http://schemas.microsoft.com/office/drawing/2014/chart" uri="{C3380CC4-5D6E-409C-BE32-E72D297353CC}">
              <c16:uniqueId val="{00000002-5B65-4B32-A4D3-09689D0ED3A8}"/>
            </c:ext>
          </c:extLst>
        </c:ser>
        <c:dLbls>
          <c:dLblPos val="outEnd"/>
          <c:showLegendKey val="0"/>
          <c:showVal val="1"/>
          <c:showCatName val="0"/>
          <c:showSerName val="0"/>
          <c:showPercent val="0"/>
          <c:showBubbleSize val="0"/>
        </c:dLbls>
        <c:gapWidth val="219"/>
        <c:overlap val="-27"/>
        <c:axId val="2085989264"/>
        <c:axId val="24935471"/>
      </c:barChart>
      <c:catAx>
        <c:axId val="2085989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4935471"/>
        <c:crosses val="autoZero"/>
        <c:auto val="1"/>
        <c:lblAlgn val="ctr"/>
        <c:lblOffset val="100"/>
        <c:noMultiLvlLbl val="0"/>
      </c:catAx>
      <c:valAx>
        <c:axId val="24935471"/>
        <c:scaling>
          <c:orientation val="minMax"/>
        </c:scaling>
        <c:delete val="1"/>
        <c:axPos val="l"/>
        <c:numFmt formatCode="&quot;$&quot;#,##0" sourceLinked="1"/>
        <c:majorTickMark val="none"/>
        <c:minorTickMark val="none"/>
        <c:tickLblPos val="nextTo"/>
        <c:crossAx val="2085989264"/>
        <c:crosses val="autoZero"/>
        <c:crossBetween val="between"/>
      </c:valAx>
    </c:plotArea>
    <c:plotVisOnly val="1"/>
    <c:dispBlanksAs val="gap"/>
    <c:showDLblsOverMax val="0"/>
    <c:extLst/>
  </c:chart>
  <c:spPr>
    <a:ln>
      <a:solidFill>
        <a:schemeClr val="bg2">
          <a:lumMod val="90000"/>
        </a:schemeClr>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spPr>
            <a:solidFill>
              <a:schemeClr val="accent1"/>
            </a:solidFill>
            <a:ln>
              <a:noFill/>
            </a:ln>
            <a:effectLst/>
          </c:spPr>
          <c:cat>
            <c:strRef>
              <c:f>'Pivot Tables'!$AA$2:$AA$14</c:f>
              <c:strCache>
                <c:ptCount val="13"/>
                <c:pt idx="0">
                  <c:v>Month</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 Tables'!$AB$2:$AB$14</c:f>
              <c:numCache>
                <c:formatCode>General</c:formatCode>
                <c:ptCount val="13"/>
                <c:pt idx="0">
                  <c:v>0</c:v>
                </c:pt>
                <c:pt idx="1">
                  <c:v>434</c:v>
                </c:pt>
                <c:pt idx="2">
                  <c:v>51</c:v>
                </c:pt>
                <c:pt idx="3">
                  <c:v>484</c:v>
                </c:pt>
                <c:pt idx="4">
                  <c:v>124</c:v>
                </c:pt>
                <c:pt idx="5">
                  <c:v>34</c:v>
                </c:pt>
                <c:pt idx="6">
                  <c:v>210</c:v>
                </c:pt>
                <c:pt idx="7">
                  <c:v>180</c:v>
                </c:pt>
                <c:pt idx="8">
                  <c:v>240</c:v>
                </c:pt>
                <c:pt idx="9">
                  <c:v>75</c:v>
                </c:pt>
                <c:pt idx="10">
                  <c:v>79</c:v>
                </c:pt>
                <c:pt idx="11">
                  <c:v>255</c:v>
                </c:pt>
                <c:pt idx="12">
                  <c:v>1051</c:v>
                </c:pt>
              </c:numCache>
            </c:numRef>
          </c:val>
          <c:extLst>
            <c:ext xmlns:c16="http://schemas.microsoft.com/office/drawing/2014/chart" uri="{C3380CC4-5D6E-409C-BE32-E72D297353CC}">
              <c16:uniqueId val="{00000000-72D0-4DF2-AF8D-38A0EC3039C6}"/>
            </c:ext>
          </c:extLst>
        </c:ser>
        <c:dLbls>
          <c:showLegendKey val="0"/>
          <c:showVal val="0"/>
          <c:showCatName val="0"/>
          <c:showSerName val="0"/>
          <c:showPercent val="0"/>
          <c:showBubbleSize val="0"/>
        </c:dLbls>
        <c:axId val="1442869952"/>
        <c:axId val="1594394880"/>
      </c:areaChart>
      <c:lineChart>
        <c:grouping val="standard"/>
        <c:varyColors val="0"/>
        <c:ser>
          <c:idx val="1"/>
          <c:order val="1"/>
          <c:spPr>
            <a:ln w="28575" cap="rnd">
              <a:solidFill>
                <a:schemeClr val="accent2"/>
              </a:solidFill>
              <a:round/>
            </a:ln>
            <a:effectLst/>
          </c:spPr>
          <c:marker>
            <c:symbol val="none"/>
          </c:marker>
          <c:dLbls>
            <c:numFmt formatCode="&quot;RM&quot;#,\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Tables'!$AA$2:$AA$14</c:f>
              <c:strCache>
                <c:ptCount val="13"/>
                <c:pt idx="0">
                  <c:v>Month</c:v>
                </c:pt>
                <c:pt idx="1">
                  <c:v>JAN</c:v>
                </c:pt>
                <c:pt idx="2">
                  <c:v>FEB</c:v>
                </c:pt>
                <c:pt idx="3">
                  <c:v>MAR</c:v>
                </c:pt>
                <c:pt idx="4">
                  <c:v>APR</c:v>
                </c:pt>
                <c:pt idx="5">
                  <c:v>MAY</c:v>
                </c:pt>
                <c:pt idx="6">
                  <c:v>JUN</c:v>
                </c:pt>
                <c:pt idx="7">
                  <c:v>JUL</c:v>
                </c:pt>
                <c:pt idx="8">
                  <c:v>AUG</c:v>
                </c:pt>
                <c:pt idx="9">
                  <c:v>SEP</c:v>
                </c:pt>
                <c:pt idx="10">
                  <c:v>OCT</c:v>
                </c:pt>
                <c:pt idx="11">
                  <c:v>NOV</c:v>
                </c:pt>
                <c:pt idx="12">
                  <c:v>DEC</c:v>
                </c:pt>
              </c:strCache>
            </c:strRef>
          </c:cat>
          <c:val>
            <c:numRef>
              <c:f>'Pivot Tables'!$AB$2:$AB$14</c:f>
              <c:numCache>
                <c:formatCode>General</c:formatCode>
                <c:ptCount val="13"/>
                <c:pt idx="0">
                  <c:v>0</c:v>
                </c:pt>
                <c:pt idx="1">
                  <c:v>434</c:v>
                </c:pt>
                <c:pt idx="2">
                  <c:v>51</c:v>
                </c:pt>
                <c:pt idx="3">
                  <c:v>484</c:v>
                </c:pt>
                <c:pt idx="4">
                  <c:v>124</c:v>
                </c:pt>
                <c:pt idx="5">
                  <c:v>34</c:v>
                </c:pt>
                <c:pt idx="6">
                  <c:v>210</c:v>
                </c:pt>
                <c:pt idx="7">
                  <c:v>180</c:v>
                </c:pt>
                <c:pt idx="8">
                  <c:v>240</c:v>
                </c:pt>
                <c:pt idx="9">
                  <c:v>75</c:v>
                </c:pt>
                <c:pt idx="10">
                  <c:v>79</c:v>
                </c:pt>
                <c:pt idx="11">
                  <c:v>255</c:v>
                </c:pt>
                <c:pt idx="12">
                  <c:v>1051</c:v>
                </c:pt>
              </c:numCache>
            </c:numRef>
          </c:val>
          <c:smooth val="0"/>
          <c:extLst>
            <c:ext xmlns:c16="http://schemas.microsoft.com/office/drawing/2014/chart" uri="{C3380CC4-5D6E-409C-BE32-E72D297353CC}">
              <c16:uniqueId val="{00000001-72D0-4DF2-AF8D-38A0EC3039C6}"/>
            </c:ext>
          </c:extLst>
        </c:ser>
        <c:dLbls>
          <c:showLegendKey val="0"/>
          <c:showVal val="0"/>
          <c:showCatName val="0"/>
          <c:showSerName val="0"/>
          <c:showPercent val="0"/>
          <c:showBubbleSize val="0"/>
        </c:dLbls>
        <c:marker val="1"/>
        <c:smooth val="0"/>
        <c:axId val="1442869952"/>
        <c:axId val="1594394880"/>
      </c:lineChart>
      <c:dateAx>
        <c:axId val="1442869952"/>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4394880"/>
        <c:crosses val="autoZero"/>
        <c:auto val="0"/>
        <c:lblOffset val="100"/>
        <c:baseTimeUnit val="days"/>
      </c:dateAx>
      <c:valAx>
        <c:axId val="1594394880"/>
        <c:scaling>
          <c:orientation val="minMax"/>
          <c:min val="0"/>
        </c:scaling>
        <c:delete val="1"/>
        <c:axPos val="l"/>
        <c:numFmt formatCode="General" sourceLinked="1"/>
        <c:majorTickMark val="out"/>
        <c:minorTickMark val="none"/>
        <c:tickLblPos val="nextTo"/>
        <c:crossAx val="1442869952"/>
        <c:crosses val="autoZero"/>
        <c:crossBetween val="between"/>
      </c:valAx>
      <c:spPr>
        <a:noFill/>
        <a:ln w="25400">
          <a:noFill/>
        </a:ln>
        <a:effectLst/>
      </c:spPr>
    </c:plotArea>
    <c:plotVisOnly val="1"/>
    <c:dispBlanksAs val="zero"/>
    <c:showDLblsOverMax val="0"/>
  </c:chart>
  <c:spPr>
    <a:solidFill>
      <a:schemeClr val="bg1"/>
    </a:solidFill>
    <a:ln w="9525" cap="flat" cmpd="sng" algn="ctr">
      <a:solidFill>
        <a:schemeClr val="bg1">
          <a:alpha val="98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V6 Pw-1.xlsm]Pivot Tables!ExpensesByCategory</c:name>
    <c:fmtId val="20"/>
  </c:pivotSource>
  <c:chart>
    <c:autoTitleDeleted val="1"/>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dLbl>
          <c:idx val="0"/>
          <c:delete val="1"/>
          <c:extLst>
            <c:ext xmlns:c15="http://schemas.microsoft.com/office/drawing/2012/chart" uri="{CE6537A1-D6FC-4f65-9D91-7224C49458BB}"/>
          </c:extLst>
        </c:dLbl>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lumMod val="20000"/>
              <a:lumOff val="80000"/>
            </a:schemeClr>
          </a:solidFill>
          <a:ln w="19050">
            <a:solidFill>
              <a:schemeClr val="lt1"/>
            </a:solidFill>
          </a:ln>
          <a:effectLst/>
        </c:spPr>
      </c:pivotFmt>
      <c:pivotFmt>
        <c:idx val="25"/>
        <c:spPr>
          <a:solidFill>
            <a:schemeClr val="accent2">
              <a:lumMod val="20000"/>
              <a:lumOff val="80000"/>
            </a:schemeClr>
          </a:solidFill>
          <a:ln w="19050">
            <a:solidFill>
              <a:schemeClr val="lt1"/>
            </a:solidFill>
          </a:ln>
          <a:effectLst/>
        </c:spPr>
      </c:pivotFmt>
      <c:pivotFmt>
        <c:idx val="26"/>
        <c:spPr>
          <a:solidFill>
            <a:srgbClr val="F96E6B"/>
          </a:solidFill>
          <a:ln w="19050">
            <a:solidFill>
              <a:schemeClr val="lt1"/>
            </a:solidFill>
          </a:ln>
          <a:effectLst/>
        </c:spPr>
      </c:pivotFmt>
      <c:pivotFmt>
        <c:idx val="27"/>
        <c:spPr>
          <a:solidFill>
            <a:srgbClr val="F8AF6C"/>
          </a:solidFill>
          <a:ln w="19050">
            <a:solidFill>
              <a:schemeClr val="lt1"/>
            </a:solidFill>
          </a:ln>
          <a:effectLst/>
        </c:spPr>
      </c:pivotFmt>
      <c:pivotFmt>
        <c:idx val="28"/>
        <c:spPr>
          <a:solidFill>
            <a:srgbClr val="ECACE9"/>
          </a:solidFill>
          <a:ln w="19050">
            <a:solidFill>
              <a:schemeClr val="lt1"/>
            </a:solidFill>
          </a:ln>
          <a:effectLst/>
        </c:spPr>
      </c:pivotFmt>
      <c:pivotFmt>
        <c:idx val="29"/>
        <c:spPr>
          <a:solidFill>
            <a:schemeClr val="accent6">
              <a:lumMod val="20000"/>
              <a:lumOff val="80000"/>
            </a:schemeClr>
          </a:solidFill>
          <a:ln w="19050">
            <a:solidFill>
              <a:schemeClr val="lt1"/>
            </a:solidFill>
          </a:ln>
          <a:effectLst/>
        </c:spPr>
      </c:pivotFmt>
      <c:pivotFmt>
        <c:idx val="30"/>
        <c:spPr>
          <a:solidFill>
            <a:schemeClr val="tx2">
              <a:lumMod val="40000"/>
              <a:lumOff val="60000"/>
            </a:schemeClr>
          </a:solidFill>
          <a:ln w="19050">
            <a:solidFill>
              <a:schemeClr val="lt1"/>
            </a:solidFill>
          </a:ln>
          <a:effectLst/>
        </c:spPr>
      </c:pivotFmt>
      <c:pivotFmt>
        <c:idx val="31"/>
        <c:spPr>
          <a:solidFill>
            <a:srgbClr val="F7C5C5"/>
          </a:solidFill>
          <a:ln w="19050">
            <a:solidFill>
              <a:schemeClr val="lt1"/>
            </a:solidFill>
          </a:ln>
          <a:effectLst/>
        </c:spPr>
      </c:pivotFmt>
      <c:pivotFmt>
        <c:idx val="32"/>
        <c:spPr>
          <a:solidFill>
            <a:schemeClr val="bg2">
              <a:lumMod val="90000"/>
            </a:schemeClr>
          </a:solidFill>
          <a:ln w="19050">
            <a:solidFill>
              <a:schemeClr val="lt1"/>
            </a:solidFill>
          </a:ln>
          <a:effectLst/>
        </c:spPr>
      </c:pivotFmt>
      <c:pivotFmt>
        <c:idx val="33"/>
        <c:spPr>
          <a:solidFill>
            <a:schemeClr val="accent4">
              <a:lumMod val="20000"/>
              <a:lumOff val="80000"/>
            </a:schemeClr>
          </a:solidFill>
          <a:ln w="19050">
            <a:solidFill>
              <a:schemeClr val="lt1"/>
            </a:solidFill>
          </a:ln>
          <a:effectLst/>
        </c:spPr>
      </c:pivotFmt>
      <c:pivotFmt>
        <c:idx val="3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lumMod val="20000"/>
              <a:lumOff val="80000"/>
            </a:schemeClr>
          </a:solidFill>
          <a:ln w="19050">
            <a:solidFill>
              <a:schemeClr val="lt1"/>
            </a:solidFill>
          </a:ln>
          <a:effectLst/>
        </c:spPr>
      </c:pivotFmt>
      <c:pivotFmt>
        <c:idx val="36"/>
        <c:spPr>
          <a:solidFill>
            <a:schemeClr val="accent2">
              <a:lumMod val="20000"/>
              <a:lumOff val="80000"/>
            </a:schemeClr>
          </a:solidFill>
          <a:ln w="19050">
            <a:solidFill>
              <a:schemeClr val="lt1"/>
            </a:solidFill>
          </a:ln>
          <a:effectLst/>
        </c:spPr>
      </c:pivotFmt>
      <c:pivotFmt>
        <c:idx val="37"/>
      </c:pivotFmt>
      <c:pivotFmt>
        <c:idx val="38"/>
      </c:pivotFmt>
      <c:pivotFmt>
        <c:idx val="39"/>
        <c:spPr>
          <a:solidFill>
            <a:srgbClr val="ECACE9"/>
          </a:solidFill>
          <a:ln w="19050">
            <a:solidFill>
              <a:schemeClr val="lt1"/>
            </a:solidFill>
          </a:ln>
          <a:effectLst/>
        </c:spPr>
      </c:pivotFmt>
      <c:pivotFmt>
        <c:idx val="40"/>
        <c:spPr>
          <a:solidFill>
            <a:srgbClr val="F8AF6C"/>
          </a:solidFill>
          <a:ln w="19050">
            <a:solidFill>
              <a:schemeClr val="lt1"/>
            </a:solidFill>
          </a:ln>
          <a:effectLst/>
        </c:spPr>
      </c:pivotFmt>
      <c:pivotFmt>
        <c:idx val="41"/>
        <c:spPr>
          <a:solidFill>
            <a:srgbClr val="ECACE9"/>
          </a:solidFill>
          <a:ln w="19050">
            <a:solidFill>
              <a:schemeClr val="lt1"/>
            </a:solidFill>
          </a:ln>
          <a:effectLst/>
        </c:spPr>
      </c:pivotFmt>
      <c:pivotFmt>
        <c:idx val="42"/>
        <c:spPr>
          <a:solidFill>
            <a:schemeClr val="accent6">
              <a:lumMod val="20000"/>
              <a:lumOff val="80000"/>
            </a:schemeClr>
          </a:solidFill>
          <a:ln w="19050">
            <a:solidFill>
              <a:schemeClr val="lt1"/>
            </a:solidFill>
          </a:ln>
          <a:effectLst/>
        </c:spPr>
      </c:pivotFmt>
      <c:pivotFmt>
        <c:idx val="43"/>
        <c:spPr>
          <a:solidFill>
            <a:srgbClr val="F96E6B"/>
          </a:solidFill>
          <a:ln w="19050">
            <a:solidFill>
              <a:schemeClr val="lt1"/>
            </a:solidFill>
          </a:ln>
          <a:effectLst/>
        </c:spPr>
      </c:pivotFmt>
    </c:pivotFmts>
    <c:plotArea>
      <c:layout/>
      <c:pieChart>
        <c:varyColors val="1"/>
        <c:ser>
          <c:idx val="0"/>
          <c:order val="0"/>
          <c:tx>
            <c:strRef>
              <c:f>'Pivot Tables'!$I$4</c:f>
              <c:strCache>
                <c:ptCount val="1"/>
                <c:pt idx="0">
                  <c:v>Total</c:v>
                </c:pt>
              </c:strCache>
            </c:strRef>
          </c:tx>
          <c:dPt>
            <c:idx val="0"/>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1C-2DE1-4E24-8434-E3D3C76979C4}"/>
              </c:ext>
            </c:extLst>
          </c:dPt>
          <c:dPt>
            <c:idx val="1"/>
            <c:bubble3D val="0"/>
            <c:spPr>
              <a:solidFill>
                <a:schemeClr val="accent2">
                  <a:lumMod val="20000"/>
                  <a:lumOff val="80000"/>
                </a:schemeClr>
              </a:solidFill>
              <a:ln w="19050">
                <a:solidFill>
                  <a:schemeClr val="lt1"/>
                </a:solidFill>
              </a:ln>
              <a:effectLst/>
            </c:spPr>
            <c:extLst>
              <c:ext xmlns:c16="http://schemas.microsoft.com/office/drawing/2014/chart" uri="{C3380CC4-5D6E-409C-BE32-E72D297353CC}">
                <c16:uniqueId val="{0000001E-2DE1-4E24-8434-E3D3C76979C4}"/>
              </c:ext>
            </c:extLst>
          </c:dPt>
          <c:dPt>
            <c:idx val="2"/>
            <c:bubble3D val="0"/>
            <c:extLst>
              <c:ext xmlns:c16="http://schemas.microsoft.com/office/drawing/2014/chart" uri="{C3380CC4-5D6E-409C-BE32-E72D297353CC}">
                <c16:uniqueId val="{00000020-2DE1-4E24-8434-E3D3C76979C4}"/>
              </c:ext>
            </c:extLst>
          </c:dPt>
          <c:dPt>
            <c:idx val="3"/>
            <c:bubble3D val="0"/>
            <c:extLst>
              <c:ext xmlns:c16="http://schemas.microsoft.com/office/drawing/2014/chart" uri="{C3380CC4-5D6E-409C-BE32-E72D297353CC}">
                <c16:uniqueId val="{00000022-2DE1-4E24-8434-E3D3C76979C4}"/>
              </c:ext>
            </c:extLst>
          </c:dPt>
          <c:dPt>
            <c:idx val="4"/>
            <c:bubble3D val="0"/>
            <c:spPr>
              <a:solidFill>
                <a:srgbClr val="ECACE9"/>
              </a:solidFill>
              <a:ln w="19050">
                <a:solidFill>
                  <a:schemeClr val="lt1"/>
                </a:solidFill>
              </a:ln>
              <a:effectLst/>
            </c:spPr>
            <c:extLst>
              <c:ext xmlns:c16="http://schemas.microsoft.com/office/drawing/2014/chart" uri="{C3380CC4-5D6E-409C-BE32-E72D297353CC}">
                <c16:uniqueId val="{00000024-2DE1-4E24-8434-E3D3C76979C4}"/>
              </c:ext>
            </c:extLst>
          </c:dPt>
          <c:dPt>
            <c:idx val="5"/>
            <c:bubble3D val="0"/>
            <c:spPr>
              <a:solidFill>
                <a:srgbClr val="F8AF6C"/>
              </a:solidFill>
              <a:ln w="19050">
                <a:solidFill>
                  <a:schemeClr val="lt1"/>
                </a:solidFill>
              </a:ln>
              <a:effectLst/>
            </c:spPr>
            <c:extLst>
              <c:ext xmlns:c16="http://schemas.microsoft.com/office/drawing/2014/chart" uri="{C3380CC4-5D6E-409C-BE32-E72D297353CC}">
                <c16:uniqueId val="{00000026-2DE1-4E24-8434-E3D3C76979C4}"/>
              </c:ext>
            </c:extLst>
          </c:dPt>
          <c:dPt>
            <c:idx val="6"/>
            <c:bubble3D val="0"/>
            <c:spPr>
              <a:solidFill>
                <a:srgbClr val="ECACE9"/>
              </a:solidFill>
              <a:ln w="19050">
                <a:solidFill>
                  <a:schemeClr val="lt1"/>
                </a:solidFill>
              </a:ln>
              <a:effectLst/>
            </c:spPr>
            <c:extLst>
              <c:ext xmlns:c16="http://schemas.microsoft.com/office/drawing/2014/chart" uri="{C3380CC4-5D6E-409C-BE32-E72D297353CC}">
                <c16:uniqueId val="{00000028-2DE1-4E24-8434-E3D3C76979C4}"/>
              </c:ext>
            </c:extLst>
          </c:dPt>
          <c:dPt>
            <c:idx val="7"/>
            <c:bubble3D val="0"/>
            <c:spPr>
              <a:solidFill>
                <a:schemeClr val="accent6">
                  <a:lumMod val="20000"/>
                  <a:lumOff val="80000"/>
                </a:schemeClr>
              </a:solidFill>
              <a:ln w="19050">
                <a:solidFill>
                  <a:schemeClr val="lt1"/>
                </a:solidFill>
              </a:ln>
              <a:effectLst/>
            </c:spPr>
            <c:extLst>
              <c:ext xmlns:c16="http://schemas.microsoft.com/office/drawing/2014/chart" uri="{C3380CC4-5D6E-409C-BE32-E72D297353CC}">
                <c16:uniqueId val="{0000002A-2DE1-4E24-8434-E3D3C76979C4}"/>
              </c:ext>
            </c:extLst>
          </c:dPt>
          <c:dPt>
            <c:idx val="8"/>
            <c:bubble3D val="0"/>
            <c:extLst>
              <c:ext xmlns:c16="http://schemas.microsoft.com/office/drawing/2014/chart" uri="{C3380CC4-5D6E-409C-BE32-E72D297353CC}">
                <c16:uniqueId val="{0000002C-2DE1-4E24-8434-E3D3C76979C4}"/>
              </c:ext>
            </c:extLst>
          </c:dPt>
          <c:dPt>
            <c:idx val="9"/>
            <c:bubble3D val="0"/>
            <c:extLst>
              <c:ext xmlns:c16="http://schemas.microsoft.com/office/drawing/2014/chart" uri="{C3380CC4-5D6E-409C-BE32-E72D297353CC}">
                <c16:uniqueId val="{0000002E-2DE1-4E24-8434-E3D3C76979C4}"/>
              </c:ext>
            </c:extLst>
          </c:dPt>
          <c:dPt>
            <c:idx val="10"/>
            <c:bubble3D val="0"/>
            <c:extLst>
              <c:ext xmlns:c16="http://schemas.microsoft.com/office/drawing/2014/chart" uri="{C3380CC4-5D6E-409C-BE32-E72D297353CC}">
                <c16:uniqueId val="{00000030-2DE1-4E24-8434-E3D3C76979C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Tables'!$H$5:$H$13</c:f>
              <c:strCache>
                <c:ptCount val="8"/>
                <c:pt idx="0">
                  <c:v>Food</c:v>
                </c:pt>
                <c:pt idx="1">
                  <c:v>Education</c:v>
                </c:pt>
                <c:pt idx="2">
                  <c:v>Entertainment</c:v>
                </c:pt>
                <c:pt idx="3">
                  <c:v>Housing</c:v>
                </c:pt>
                <c:pt idx="4">
                  <c:v>Insurance</c:v>
                </c:pt>
                <c:pt idx="5">
                  <c:v>Investment</c:v>
                </c:pt>
                <c:pt idx="6">
                  <c:v>Transportation</c:v>
                </c:pt>
                <c:pt idx="7">
                  <c:v>Utilities</c:v>
                </c:pt>
              </c:strCache>
            </c:strRef>
          </c:cat>
          <c:val>
            <c:numRef>
              <c:f>'Pivot Tables'!$I$5:$I$13</c:f>
              <c:numCache>
                <c:formatCode>General</c:formatCode>
                <c:ptCount val="8"/>
                <c:pt idx="0">
                  <c:v>1939.4</c:v>
                </c:pt>
                <c:pt idx="1">
                  <c:v>5600</c:v>
                </c:pt>
                <c:pt idx="2">
                  <c:v>434</c:v>
                </c:pt>
                <c:pt idx="3">
                  <c:v>1600</c:v>
                </c:pt>
                <c:pt idx="4">
                  <c:v>5100</c:v>
                </c:pt>
                <c:pt idx="5">
                  <c:v>1700</c:v>
                </c:pt>
                <c:pt idx="6">
                  <c:v>1335</c:v>
                </c:pt>
                <c:pt idx="7">
                  <c:v>214.5</c:v>
                </c:pt>
              </c:numCache>
            </c:numRef>
          </c:val>
          <c:extLst>
            <c:ext xmlns:c16="http://schemas.microsoft.com/office/drawing/2014/chart" uri="{C3380CC4-5D6E-409C-BE32-E72D297353CC}">
              <c16:uniqueId val="{00000031-2DE1-4E24-8434-E3D3C76979C4}"/>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V6 Pw-1.xlsm]Pivot Tables!Recipients</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Tables'!$T$2</c:f>
              <c:strCache>
                <c:ptCount val="1"/>
                <c:pt idx="0">
                  <c:v>Total</c:v>
                </c:pt>
              </c:strCache>
            </c:strRef>
          </c:tx>
          <c:spPr>
            <a:solidFill>
              <a:schemeClr val="accent1"/>
            </a:solidFill>
            <a:ln>
              <a:noFill/>
            </a:ln>
            <a:effectLst/>
          </c:spPr>
          <c:invertIfNegative val="0"/>
          <c:cat>
            <c:strRef>
              <c:f>'Pivot Tables'!$S$3:$S$7</c:f>
              <c:strCache>
                <c:ptCount val="5"/>
                <c:pt idx="0">
                  <c:v>Public Bank</c:v>
                </c:pt>
                <c:pt idx="1">
                  <c:v>Aeon</c:v>
                </c:pt>
                <c:pt idx="2">
                  <c:v>EPF</c:v>
                </c:pt>
                <c:pt idx="3">
                  <c:v>Great Eastern</c:v>
                </c:pt>
                <c:pt idx="4">
                  <c:v>Little Legends</c:v>
                </c:pt>
              </c:strCache>
            </c:strRef>
          </c:cat>
          <c:val>
            <c:numRef>
              <c:f>'Pivot Tables'!$T$3:$T$7</c:f>
              <c:numCache>
                <c:formatCode>"$"#,##0</c:formatCode>
                <c:ptCount val="5"/>
                <c:pt idx="0">
                  <c:v>33600</c:v>
                </c:pt>
                <c:pt idx="1">
                  <c:v>18527</c:v>
                </c:pt>
                <c:pt idx="2">
                  <c:v>13200</c:v>
                </c:pt>
                <c:pt idx="3">
                  <c:v>10200</c:v>
                </c:pt>
                <c:pt idx="4">
                  <c:v>7200</c:v>
                </c:pt>
              </c:numCache>
            </c:numRef>
          </c:val>
          <c:extLst>
            <c:ext xmlns:c16="http://schemas.microsoft.com/office/drawing/2014/chart" uri="{C3380CC4-5D6E-409C-BE32-E72D297353CC}">
              <c16:uniqueId val="{00000000-595A-4122-AD27-7766C4F23D64}"/>
            </c:ext>
          </c:extLst>
        </c:ser>
        <c:dLbls>
          <c:showLegendKey val="0"/>
          <c:showVal val="0"/>
          <c:showCatName val="0"/>
          <c:showSerName val="0"/>
          <c:showPercent val="0"/>
          <c:showBubbleSize val="0"/>
        </c:dLbls>
        <c:gapWidth val="219"/>
        <c:overlap val="-27"/>
        <c:axId val="1906540048"/>
        <c:axId val="2112405407"/>
      </c:barChart>
      <c:catAx>
        <c:axId val="1906540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405407"/>
        <c:crosses val="autoZero"/>
        <c:auto val="1"/>
        <c:lblAlgn val="ctr"/>
        <c:lblOffset val="100"/>
        <c:noMultiLvlLbl val="0"/>
      </c:catAx>
      <c:valAx>
        <c:axId val="211240540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6540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ADLaM Display" panose="020F0502020204030204" pitchFamily="2" charset="0"/>
                <a:cs typeface="Arial" panose="020B0604020202020204" pitchFamily="34" charset="0"/>
              </a:defRPr>
            </a:pPr>
            <a:r>
              <a:rPr lang="en-US" b="1">
                <a:latin typeface="Arial" panose="020B0604020202020204" pitchFamily="34" charset="0"/>
                <a:ea typeface="ADLaM Display" panose="020F0502020204030204" pitchFamily="2" charset="0"/>
                <a:cs typeface="Arial" panose="020B0604020202020204" pitchFamily="34" charset="0"/>
              </a:rPr>
              <a:t>Tax Deductions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ADLaM Display" panose="020F0502020204030204" pitchFamily="2" charset="0"/>
              <a:cs typeface="Arial" panose="020B0604020202020204" pitchFamily="34" charset="0"/>
            </a:defRPr>
          </a:pPr>
          <a:endParaRPr lang="en-US"/>
        </a:p>
      </c:txPr>
    </c:title>
    <c:autoTitleDeleted val="0"/>
    <c:plotArea>
      <c:layout/>
      <c:barChart>
        <c:barDir val="bar"/>
        <c:grouping val="clustered"/>
        <c:varyColors val="0"/>
        <c:ser>
          <c:idx val="0"/>
          <c:order val="0"/>
          <c:tx>
            <c:strRef>
              <c:f>'Tables (Tax Relief)'!$B$2</c:f>
              <c:strCache>
                <c:ptCount val="1"/>
                <c:pt idx="0">
                  <c:v>Total</c:v>
                </c:pt>
              </c:strCache>
            </c:strRef>
          </c:tx>
          <c:spPr>
            <a:solidFill>
              <a:schemeClr val="accent6">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 (Tax Relief)'!$A$3:$A$5</c:f>
              <c:strCache>
                <c:ptCount val="3"/>
                <c:pt idx="0">
                  <c:v>Angel Investor Tax Incentive</c:v>
                </c:pt>
                <c:pt idx="1">
                  <c:v>Donations/Gifts</c:v>
                </c:pt>
                <c:pt idx="2">
                  <c:v>Tax Relief</c:v>
                </c:pt>
              </c:strCache>
            </c:strRef>
          </c:cat>
          <c:val>
            <c:numRef>
              <c:f>'Tables (Tax Relief)'!$B$3:$B$5</c:f>
              <c:numCache>
                <c:formatCode>"RM"#,##0</c:formatCode>
                <c:ptCount val="3"/>
                <c:pt idx="0">
                  <c:v>0</c:v>
                </c:pt>
                <c:pt idx="1">
                  <c:v>0</c:v>
                </c:pt>
                <c:pt idx="2">
                  <c:v>33150</c:v>
                </c:pt>
              </c:numCache>
            </c:numRef>
          </c:val>
          <c:extLst>
            <c:ext xmlns:c16="http://schemas.microsoft.com/office/drawing/2014/chart" uri="{C3380CC4-5D6E-409C-BE32-E72D297353CC}">
              <c16:uniqueId val="{00000000-D680-4674-B1B2-149278D22626}"/>
            </c:ext>
          </c:extLst>
        </c:ser>
        <c:dLbls>
          <c:dLblPos val="outEnd"/>
          <c:showLegendKey val="0"/>
          <c:showVal val="1"/>
          <c:showCatName val="0"/>
          <c:showSerName val="0"/>
          <c:showPercent val="0"/>
          <c:showBubbleSize val="0"/>
        </c:dLbls>
        <c:gapWidth val="182"/>
        <c:axId val="1172337216"/>
        <c:axId val="1203254783"/>
      </c:barChart>
      <c:catAx>
        <c:axId val="1172337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03254783"/>
        <c:crosses val="autoZero"/>
        <c:auto val="1"/>
        <c:lblAlgn val="ctr"/>
        <c:lblOffset val="100"/>
        <c:noMultiLvlLbl val="0"/>
      </c:catAx>
      <c:valAx>
        <c:axId val="1203254783"/>
        <c:scaling>
          <c:orientation val="minMax"/>
        </c:scaling>
        <c:delete val="0"/>
        <c:axPos val="b"/>
        <c:majorGridlines>
          <c:spPr>
            <a:ln w="9525" cap="flat" cmpd="sng" algn="ctr">
              <a:solidFill>
                <a:schemeClr val="tx1">
                  <a:lumMod val="15000"/>
                  <a:lumOff val="85000"/>
                </a:schemeClr>
              </a:solidFill>
              <a:round/>
            </a:ln>
            <a:effectLst/>
          </c:spPr>
        </c:majorGridlines>
        <c:numFmt formatCode="&quot;RM&quot;#,##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7233721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MY" b="1">
                <a:latin typeface="Arial" panose="020B0604020202020204" pitchFamily="34" charset="0"/>
                <a:cs typeface="Arial" panose="020B0604020202020204" pitchFamily="34" charset="0"/>
              </a:rPr>
              <a:t>Tax Relief</a:t>
            </a:r>
            <a:r>
              <a:rPr lang="en-MY" b="1" baseline="0">
                <a:latin typeface="Arial" panose="020B0604020202020204" pitchFamily="34" charset="0"/>
                <a:cs typeface="Arial" panose="020B0604020202020204" pitchFamily="34" charset="0"/>
              </a:rPr>
              <a:t> </a:t>
            </a:r>
            <a:endParaRPr lang="en-MY" b="1">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barChart>
        <c:barDir val="col"/>
        <c:grouping val="clustered"/>
        <c:varyColors val="0"/>
        <c:ser>
          <c:idx val="0"/>
          <c:order val="0"/>
          <c:spPr>
            <a:solidFill>
              <a:schemeClr val="accent6">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 (Tax Relief)'!$D$2:$D$17</c:f>
              <c:strCache>
                <c:ptCount val="9"/>
                <c:pt idx="0">
                  <c:v>Net deposit in SSPN</c:v>
                </c:pt>
                <c:pt idx="1">
                  <c:v>EPF</c:v>
                </c:pt>
                <c:pt idx="2">
                  <c:v>Kindergarden (6yo and below)</c:v>
                </c:pt>
                <c:pt idx="3">
                  <c:v>Life Insurance</c:v>
                </c:pt>
                <c:pt idx="4">
                  <c:v>PRS</c:v>
                </c:pt>
                <c:pt idx="5">
                  <c:v>Education and medical insurance</c:v>
                </c:pt>
                <c:pt idx="6">
                  <c:v>Lifestyle(books/personal smart device/sports equipment/internet bill)</c:v>
                </c:pt>
                <c:pt idx="7">
                  <c:v>Contribution to SOCSO</c:v>
                </c:pt>
                <c:pt idx="8">
                  <c:v>Medical (self/spouse/child)</c:v>
                </c:pt>
              </c:strCache>
            </c:strRef>
          </c:cat>
          <c:val>
            <c:numRef>
              <c:f>'Tables (Tax Relief)'!$E$2:$E$17</c:f>
              <c:numCache>
                <c:formatCode>"RM"#,##0</c:formatCode>
                <c:ptCount val="16"/>
                <c:pt idx="0">
                  <c:v>5000</c:v>
                </c:pt>
                <c:pt idx="1">
                  <c:v>4000</c:v>
                </c:pt>
                <c:pt idx="2">
                  <c:v>3000</c:v>
                </c:pt>
                <c:pt idx="3">
                  <c:v>3000</c:v>
                </c:pt>
                <c:pt idx="4">
                  <c:v>3000</c:v>
                </c:pt>
                <c:pt idx="5">
                  <c:v>3000</c:v>
                </c:pt>
                <c:pt idx="6">
                  <c:v>2500</c:v>
                </c:pt>
                <c:pt idx="7">
                  <c:v>350</c:v>
                </c:pt>
                <c:pt idx="8">
                  <c:v>300</c:v>
                </c:pt>
              </c:numCache>
            </c:numRef>
          </c:val>
          <c:extLst>
            <c:ext xmlns:c16="http://schemas.microsoft.com/office/drawing/2014/chart" uri="{C3380CC4-5D6E-409C-BE32-E72D297353CC}">
              <c16:uniqueId val="{00000000-9124-4FBF-BD78-59B30AF087A1}"/>
            </c:ext>
          </c:extLst>
        </c:ser>
        <c:dLbls>
          <c:dLblPos val="outEnd"/>
          <c:showLegendKey val="0"/>
          <c:showVal val="1"/>
          <c:showCatName val="0"/>
          <c:showSerName val="0"/>
          <c:showPercent val="0"/>
          <c:showBubbleSize val="0"/>
        </c:dLbls>
        <c:gapWidth val="219"/>
        <c:overlap val="-27"/>
        <c:axId val="1249179792"/>
        <c:axId val="1203257759"/>
      </c:barChart>
      <c:catAx>
        <c:axId val="124917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03257759"/>
        <c:crosses val="autoZero"/>
        <c:auto val="1"/>
        <c:lblAlgn val="ctr"/>
        <c:lblOffset val="100"/>
        <c:noMultiLvlLbl val="0"/>
      </c:catAx>
      <c:valAx>
        <c:axId val="1203257759"/>
        <c:scaling>
          <c:orientation val="minMax"/>
        </c:scaling>
        <c:delete val="1"/>
        <c:axPos val="l"/>
        <c:numFmt formatCode="&quot;RM&quot;#,##0" sourceLinked="1"/>
        <c:majorTickMark val="none"/>
        <c:minorTickMark val="none"/>
        <c:tickLblPos val="nextTo"/>
        <c:crossAx val="1249179792"/>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r>
              <a:rPr lang="en-MY">
                <a:latin typeface="Avenir Next LT Pro" panose="020B0504020202020204" pitchFamily="34" charset="0"/>
              </a:rPr>
              <a:t>Recommended Categories</a:t>
            </a:r>
            <a:r>
              <a:rPr lang="en-MY" baseline="0">
                <a:latin typeface="Avenir Next LT Pro" panose="020B0504020202020204" pitchFamily="34" charset="0"/>
              </a:rPr>
              <a:t> For Further Tax Relief</a:t>
            </a:r>
          </a:p>
          <a:p>
            <a:pPr>
              <a:defRPr/>
            </a:pPr>
            <a:endParaRPr lang="en-MY">
              <a:latin typeface="Avenir Next LT Pro" panose="020B0504020202020204" pitchFamily="34" charset="0"/>
            </a:endParaRPr>
          </a:p>
        </c:rich>
      </c:tx>
      <c:layout>
        <c:manualLayout>
          <c:xMode val="edge"/>
          <c:yMode val="edge"/>
          <c:x val="0.12288888888888889"/>
          <c:y val="4.1666666666666664E-2"/>
        </c:manualLayout>
      </c:layout>
      <c:overlay val="0"/>
      <c:spPr>
        <a:noFill/>
        <a:ln>
          <a:noFill/>
        </a:ln>
        <a:effectLst/>
      </c:spPr>
      <c:txPr>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0381846019247594"/>
          <c:y val="0.19486111111111112"/>
          <c:w val="0.62640376202974624"/>
          <c:h val="0.72088764946048411"/>
        </c:manualLayout>
      </c:layout>
      <c:barChart>
        <c:barDir val="bar"/>
        <c:grouping val="clustered"/>
        <c:varyColors val="1"/>
        <c:ser>
          <c:idx val="0"/>
          <c:order val="0"/>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8FE8-42B6-8951-8DF64F7D9E4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'Tax Calculator'!$J$3:$J$3</c:f>
              <c:strCache>
                <c:ptCount val="1"/>
                <c:pt idx="0">
                  <c:v>Medical (self/spouse/child)</c:v>
                </c:pt>
              </c:strCache>
            </c:strRef>
          </c:cat>
          <c:val>
            <c:numRef>
              <c:f>'Tax Calculator'!$K$3:$K$3</c:f>
              <c:numCache>
                <c:formatCode>General</c:formatCode>
                <c:ptCount val="1"/>
                <c:pt idx="0">
                  <c:v>9700</c:v>
                </c:pt>
              </c:numCache>
            </c:numRef>
          </c:val>
          <c:extLst>
            <c:ext xmlns:c16="http://schemas.microsoft.com/office/drawing/2014/chart" uri="{C3380CC4-5D6E-409C-BE32-E72D297353CC}">
              <c16:uniqueId val="{00000000-A730-4EB5-B5E8-30EC55F97180}"/>
            </c:ext>
          </c:extLst>
        </c:ser>
        <c:dLbls>
          <c:dLblPos val="outEnd"/>
          <c:showLegendKey val="0"/>
          <c:showVal val="1"/>
          <c:showCatName val="0"/>
          <c:showSerName val="0"/>
          <c:showPercent val="0"/>
          <c:showBubbleSize val="0"/>
        </c:dLbls>
        <c:gapWidth val="80"/>
        <c:overlap val="7"/>
        <c:axId val="743435744"/>
        <c:axId val="711110511"/>
      </c:barChart>
      <c:catAx>
        <c:axId val="7434357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711110511"/>
        <c:crosses val="autoZero"/>
        <c:auto val="1"/>
        <c:lblAlgn val="ctr"/>
        <c:lblOffset val="100"/>
        <c:noMultiLvlLbl val="0"/>
      </c:catAx>
      <c:valAx>
        <c:axId val="7111105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357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[0]!TreeMapLabels</cx:f>
      </cx:strDim>
      <cx:numDim type="size">
        <cx:f>[0]!TreeMapValues</cx:f>
      </cx:numDim>
    </cx:data>
  </cx:chartData>
  <cx:chart>
    <cx:plotArea>
      <cx:plotAreaRegion>
        <cx:series layoutId="treemap" uniqueId="{00000001-58CF-4F22-AB36-DE1A947D6521}" formatIdx="1">
          <cx:dataId val="0"/>
          <cx:layoutPr/>
        </cx:series>
      </cx:plotAreaRegion>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[0]!TreeMapLabels</cx:f>
      </cx:strDim>
      <cx:numDim type="size">
        <cx:f>[0]!TreeMapValues</cx:f>
      </cx:numDim>
    </cx:data>
  </cx:chartData>
  <cx:chart>
    <cx:plotArea>
      <cx:plotAreaRegion>
        <cx:series layoutId="treemap" uniqueId="{AC1E0753-979A-40D6-A825-9EBD82547DA7}">
          <cx:dataLabels pos="inEnd">
            <cx:numFmt formatCode="RM#,##0" sourceLinked="0"/>
            <cx:txPr>
              <a:bodyPr spcFirstLastPara="1" vertOverflow="ellipsis" horzOverflow="overflow" wrap="square" lIns="0" tIns="0" rIns="0" bIns="0" anchor="ctr" anchorCtr="1"/>
              <a:lstStyle/>
              <a:p>
                <a:pPr algn="ctr" rtl="0">
                  <a:defRPr sz="800" b="1">
                    <a:latin typeface="Arial" panose="020B0604020202020204" pitchFamily="34" charset="0"/>
                    <a:ea typeface="Arial" panose="020B0604020202020204" pitchFamily="34" charset="0"/>
                    <a:cs typeface="Arial" panose="020B0604020202020204" pitchFamily="34" charset="0"/>
                  </a:defRPr>
                </a:pPr>
                <a:endParaRPr lang="en-US" sz="800" b="1" i="0" u="none" strike="noStrike" baseline="0">
                  <a:solidFill>
                    <a:sysClr val="window" lastClr="FFFFFF"/>
                  </a:solidFill>
                  <a:latin typeface="Arial" panose="020B0604020202020204" pitchFamily="34" charset="0"/>
                  <a:cs typeface="Arial" panose="020B0604020202020204" pitchFamily="34" charset="0"/>
                </a:endParaRPr>
              </a:p>
            </cx:txPr>
            <cx:visibility seriesName="0" categoryName="1" value="1"/>
            <cx:separator>
</cx:separator>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b="1">
              <a:latin typeface="Arial" panose="020B0604020202020204" pitchFamily="34" charset="0"/>
              <a:ea typeface="Arial" panose="020B0604020202020204" pitchFamily="34" charset="0"/>
              <a:cs typeface="Arial" panose="020B0604020202020204" pitchFamily="34" charset="0"/>
            </a:defRPr>
          </a:pPr>
          <a:endParaRPr lang="en-US" sz="900" b="1" i="0" u="none" strike="noStrike" baseline="0">
            <a:solidFill>
              <a:sysClr val="windowText" lastClr="000000">
                <a:lumMod val="65000"/>
                <a:lumOff val="35000"/>
              </a:sysClr>
            </a:solidFill>
            <a:latin typeface="Arial" panose="020B0604020202020204" pitchFamily="34" charset="0"/>
            <a:cs typeface="Arial" panose="020B0604020202020204" pitchFamily="34" charset="0"/>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[0]!TreeMapLabels</cx:f>
      </cx:strDim>
      <cx:numDim type="size">
        <cx:f>[0]!TreeMapValues</cx:f>
      </cx:numDim>
    </cx:data>
  </cx:chartData>
  <cx:chart>
    <cx:plotArea>
      <cx:plotAreaRegion>
        <cx:series layoutId="treemap" uniqueId="{00000001-58CF-4F22-AB36-DE1A947D6521}" formatIdx="1">
          <cx:dataId val="0"/>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6" fmlaLink="$M$60" max="20" page="10" val="0"/>
</file>

<file path=xl/ctrlProps/ctrlProp2.xml><?xml version="1.0" encoding="utf-8"?>
<formControlPr xmlns="http://schemas.microsoft.com/office/spreadsheetml/2009/9/main" objectType="Spin" dx="26" fmlaLink="$M$61" max="20" page="10" val="0"/>
</file>

<file path=xl/ctrlProps/ctrlProp3.xml><?xml version="1.0" encoding="utf-8"?>
<formControlPr xmlns="http://schemas.microsoft.com/office/spreadsheetml/2009/9/main" objectType="Spin" dx="26" fmlaLink="$M$62" max="20" page="10" val="0"/>
</file>

<file path=xl/ctrlProps/ctrlProp4.xml><?xml version="1.0" encoding="utf-8"?>
<formControlPr xmlns="http://schemas.microsoft.com/office/spreadsheetml/2009/9/main" objectType="Spin" dx="26" fmlaLink="$M$64" max="20" page="10" val="0"/>
</file>

<file path=xl/ctrlProps/ctrlProp5.xml><?xml version="1.0" encoding="utf-8"?>
<formControlPr xmlns="http://schemas.microsoft.com/office/spreadsheetml/2009/9/main" objectType="Spin" dx="26" fmlaLink="$M$65" max="20" page="10" val="0"/>
</file>

<file path=xl/ctrlProps/ctrlProp6.xml><?xml version="1.0" encoding="utf-8"?>
<formControlPr xmlns="http://schemas.microsoft.com/office/spreadsheetml/2009/9/main" objectType="Spin" dx="26" fmlaLink="$J$13" max="20" page="10" val="0"/>
</file>

<file path=xl/ctrlProps/ctrlProp7.xml><?xml version="1.0" encoding="utf-8"?>
<formControlPr xmlns="http://schemas.microsoft.com/office/spreadsheetml/2009/9/main" objectType="Spin" dx="26" fmlaLink="$J$14" max="20" page="10" val="0"/>
</file>

<file path=xl/ctrlProps/ctrlProp8.xml><?xml version="1.0" encoding="utf-8"?>
<formControlPr xmlns="http://schemas.microsoft.com/office/spreadsheetml/2009/9/main" objectType="Spin" dx="26" fmlaLink="$J$16" max="20" page="10" val="0"/>
</file>

<file path=xl/ctrlProps/ctrlProp9.xml><?xml version="1.0" encoding="utf-8"?>
<formControlPr xmlns="http://schemas.microsoft.com/office/spreadsheetml/2009/9/main" objectType="Spin" dx="26" fmlaLink="$J$17" max="20" page="10" val="0"/>
</file>

<file path=xl/ctrlProps/ctrlProp10.xml><?xml version="1.0" encoding="utf-8"?>
<formControlPr xmlns="http://schemas.microsoft.com/office/spreadsheetml/2009/9/main" objectType="Spin" dx="26" fmlaLink="$J$12" max="20" page="10" val="0"/>
</file>

<file path=xl/drawings/_rels/drawing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svg"/><Relationship Id="rId7" Type="http://schemas.openxmlformats.org/officeDocument/2006/relationships/image" Target="../media/image14.svg"/><Relationship Id="rId12" Type="http://schemas.openxmlformats.org/officeDocument/2006/relationships/image" Target="../media/image19.sv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image" Target="../media/image18.png"/><Relationship Id="rId5" Type="http://schemas.openxmlformats.org/officeDocument/2006/relationships/image" Target="../media/image12.sv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svg"/></Relationships>
</file>

<file path=xl/drawings/_rels/drawing2.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svg"/><Relationship Id="rId7" Type="http://schemas.openxmlformats.org/officeDocument/2006/relationships/image" Target="../media/image14.svg"/><Relationship Id="rId12" Type="http://schemas.openxmlformats.org/officeDocument/2006/relationships/image" Target="../media/image19.svg"/><Relationship Id="rId2" Type="http://schemas.openxmlformats.org/officeDocument/2006/relationships/image" Target="../media/image9.png"/><Relationship Id="rId1" Type="http://schemas.openxmlformats.org/officeDocument/2006/relationships/chart" Target="../charts/chart1.xml"/><Relationship Id="rId6" Type="http://schemas.openxmlformats.org/officeDocument/2006/relationships/image" Target="../media/image13.png"/><Relationship Id="rId11" Type="http://schemas.openxmlformats.org/officeDocument/2006/relationships/image" Target="../media/image18.png"/><Relationship Id="rId5" Type="http://schemas.openxmlformats.org/officeDocument/2006/relationships/image" Target="../media/image12.sv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svg"/></Relationships>
</file>

<file path=xl/drawings/_rels/drawing3.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svg"/><Relationship Id="rId7" Type="http://schemas.openxmlformats.org/officeDocument/2006/relationships/image" Target="../media/image14.svg"/><Relationship Id="rId12" Type="http://schemas.openxmlformats.org/officeDocument/2006/relationships/image" Target="../media/image19.svg"/><Relationship Id="rId2" Type="http://schemas.openxmlformats.org/officeDocument/2006/relationships/image" Target="../media/image9.png"/><Relationship Id="rId1" Type="http://schemas.openxmlformats.org/officeDocument/2006/relationships/image" Target="../media/image21.png"/><Relationship Id="rId6" Type="http://schemas.openxmlformats.org/officeDocument/2006/relationships/image" Target="../media/image13.png"/><Relationship Id="rId11" Type="http://schemas.openxmlformats.org/officeDocument/2006/relationships/image" Target="../media/image18.png"/><Relationship Id="rId5" Type="http://schemas.openxmlformats.org/officeDocument/2006/relationships/image" Target="../media/image12.sv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svg"/></Relationships>
</file>

<file path=xl/drawings/_rels/drawing4.xml.rels><?xml version="1.0" encoding="UTF-8" standalone="yes"?>
<Relationships xmlns="http://schemas.openxmlformats.org/package/2006/relationships"><Relationship Id="rId8" Type="http://schemas.openxmlformats.org/officeDocument/2006/relationships/image" Target="../media/image16.svg"/><Relationship Id="rId3" Type="http://schemas.openxmlformats.org/officeDocument/2006/relationships/image" Target="../media/image11.png"/><Relationship Id="rId7" Type="http://schemas.openxmlformats.org/officeDocument/2006/relationships/image" Target="../media/image15.png"/><Relationship Id="rId2" Type="http://schemas.openxmlformats.org/officeDocument/2006/relationships/image" Target="../media/image10.svg"/><Relationship Id="rId1" Type="http://schemas.openxmlformats.org/officeDocument/2006/relationships/image" Target="../media/image9.png"/><Relationship Id="rId6" Type="http://schemas.openxmlformats.org/officeDocument/2006/relationships/image" Target="../media/image14.svg"/><Relationship Id="rId11" Type="http://schemas.openxmlformats.org/officeDocument/2006/relationships/image" Target="../media/image19.svg"/><Relationship Id="rId5" Type="http://schemas.openxmlformats.org/officeDocument/2006/relationships/image" Target="../media/image13.png"/><Relationship Id="rId10" Type="http://schemas.openxmlformats.org/officeDocument/2006/relationships/image" Target="../media/image18.png"/><Relationship Id="rId4" Type="http://schemas.openxmlformats.org/officeDocument/2006/relationships/image" Target="../media/image12.svg"/><Relationship Id="rId9" Type="http://schemas.openxmlformats.org/officeDocument/2006/relationships/image" Target="../media/image22.png"/></Relationships>
</file>

<file path=xl/drawings/_rels/drawing5.xml.rels><?xml version="1.0" encoding="UTF-8" standalone="yes"?>
<Relationships xmlns="http://schemas.openxmlformats.org/package/2006/relationships"><Relationship Id="rId8" Type="http://schemas.openxmlformats.org/officeDocument/2006/relationships/image" Target="../media/image16.svg"/><Relationship Id="rId3" Type="http://schemas.openxmlformats.org/officeDocument/2006/relationships/image" Target="../media/image11.png"/><Relationship Id="rId7" Type="http://schemas.openxmlformats.org/officeDocument/2006/relationships/image" Target="../media/image15.png"/><Relationship Id="rId2" Type="http://schemas.openxmlformats.org/officeDocument/2006/relationships/image" Target="../media/image10.svg"/><Relationship Id="rId1" Type="http://schemas.openxmlformats.org/officeDocument/2006/relationships/image" Target="../media/image9.png"/><Relationship Id="rId6" Type="http://schemas.openxmlformats.org/officeDocument/2006/relationships/image" Target="../media/image14.svg"/><Relationship Id="rId11" Type="http://schemas.openxmlformats.org/officeDocument/2006/relationships/image" Target="../media/image19.svg"/><Relationship Id="rId5" Type="http://schemas.openxmlformats.org/officeDocument/2006/relationships/image" Target="../media/image13.png"/><Relationship Id="rId10" Type="http://schemas.openxmlformats.org/officeDocument/2006/relationships/image" Target="../media/image18.png"/><Relationship Id="rId4" Type="http://schemas.openxmlformats.org/officeDocument/2006/relationships/image" Target="../media/image12.svg"/><Relationship Id="rId9" Type="http://schemas.openxmlformats.org/officeDocument/2006/relationships/image" Target="../media/image17.png"/></Relationships>
</file>

<file path=xl/drawings/_rels/drawing6.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svg"/><Relationship Id="rId3" Type="http://schemas.openxmlformats.org/officeDocument/2006/relationships/chart" Target="../charts/chart4.xml"/><Relationship Id="rId7" Type="http://schemas.openxmlformats.org/officeDocument/2006/relationships/image" Target="../media/image10.svg"/><Relationship Id="rId12" Type="http://schemas.openxmlformats.org/officeDocument/2006/relationships/image" Target="../media/image15.png"/><Relationship Id="rId2" Type="http://schemas.openxmlformats.org/officeDocument/2006/relationships/chart" Target="../charts/chart3.xml"/><Relationship Id="rId16" Type="http://schemas.openxmlformats.org/officeDocument/2006/relationships/image" Target="../media/image19.svg"/><Relationship Id="rId1" Type="http://schemas.openxmlformats.org/officeDocument/2006/relationships/chart" Target="../charts/chart2.xml"/><Relationship Id="rId6" Type="http://schemas.openxmlformats.org/officeDocument/2006/relationships/image" Target="../media/image9.png"/><Relationship Id="rId11" Type="http://schemas.openxmlformats.org/officeDocument/2006/relationships/image" Target="../media/image14.svg"/><Relationship Id="rId5" Type="http://schemas.microsoft.com/office/2014/relationships/chartEx" Target="../charts/chartEx2.xml"/><Relationship Id="rId15" Type="http://schemas.openxmlformats.org/officeDocument/2006/relationships/image" Target="../media/image18.png"/><Relationship Id="rId10" Type="http://schemas.openxmlformats.org/officeDocument/2006/relationships/image" Target="../media/image13.png"/><Relationship Id="rId4" Type="http://schemas.microsoft.com/office/2014/relationships/chartEx" Target="../charts/chartEx1.xml"/><Relationship Id="rId9" Type="http://schemas.openxmlformats.org/officeDocument/2006/relationships/image" Target="../media/image12.svg"/><Relationship Id="rId14" Type="http://schemas.openxmlformats.org/officeDocument/2006/relationships/image" Target="../media/image17.pn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microsoft.com/office/2014/relationships/chartEx" Target="../charts/chartEx3.xml"/></Relationships>
</file>

<file path=xl/drawings/_rels/drawing8.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oneCell">
    <xdr:from>
      <xdr:col>16</xdr:col>
      <xdr:colOff>541019</xdr:colOff>
      <xdr:row>5</xdr:row>
      <xdr:rowOff>160918</xdr:rowOff>
    </xdr:from>
    <xdr:to>
      <xdr:col>21</xdr:col>
      <xdr:colOff>106680</xdr:colOff>
      <xdr:row>12</xdr:row>
      <xdr:rowOff>182986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alphaModFix/>
          <a:extLst>
            <a:ext uri="{28A0092B-C50C-407E-A947-70E740481C1C}">
              <a14:useLocalDpi xmlns:a14="http://schemas.microsoft.com/office/drawing/2010/main" val="0"/>
            </a:ext>
          </a:extLst>
        </a:blip>
        <a:stretch>
          <a:fillRect/>
        </a:stretch>
      </xdr:blipFill>
      <xdr:spPr>
        <a:xfrm>
          <a:off x="10797539" y="1776358"/>
          <a:ext cx="2613661" cy="1805148"/>
        </a:xfrm>
        <a:prstGeom prst="rect">
          <a:avLst/>
        </a:prstGeom>
      </xdr:spPr>
    </xdr:pic>
    <xdr:clientData/>
  </xdr:twoCellAnchor>
  <xdr:twoCellAnchor editAs="oneCell">
    <xdr:from>
      <xdr:col>1</xdr:col>
      <xdr:colOff>99060</xdr:colOff>
      <xdr:row>0</xdr:row>
      <xdr:rowOff>99060</xdr:rowOff>
    </xdr:from>
    <xdr:to>
      <xdr:col>3</xdr:col>
      <xdr:colOff>68580</xdr:colOff>
      <xdr:row>0</xdr:row>
      <xdr:rowOff>419100</xdr:rowOff>
    </xdr:to>
    <xdr:sp macro="[0]!GoHome" textlink="">
      <xdr:nvSpPr>
        <xdr:cNvPr id="31" name="Rectangle: Rounded Corners 30">
          <a:extLst>
            <a:ext uri="{FF2B5EF4-FFF2-40B4-BE49-F238E27FC236}">
              <a16:creationId xmlns:a16="http://schemas.microsoft.com/office/drawing/2014/main" id="{00000000-0008-0000-0000-00001F000000}"/>
            </a:ext>
          </a:extLst>
        </xdr:cNvPr>
        <xdr:cNvSpPr/>
      </xdr:nvSpPr>
      <xdr:spPr>
        <a:xfrm>
          <a:off x="708660" y="99060"/>
          <a:ext cx="1188720" cy="320040"/>
        </a:xfrm>
        <a:prstGeom prst="roundRect">
          <a:avLst>
            <a:gd name="adj" fmla="val 5556"/>
          </a:avLst>
        </a:prstGeom>
        <a:solidFill>
          <a:schemeClr val="tx2">
            <a:lumMod val="60000"/>
            <a:lumOff val="40000"/>
          </a:schemeClr>
        </a:solidFill>
        <a:ln>
          <a:noFill/>
        </a:ln>
        <a:effectLst>
          <a:innerShdw blurRad="635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Home</a:t>
          </a:r>
        </a:p>
      </xdr:txBody>
    </xdr:sp>
    <xdr:clientData/>
  </xdr:twoCellAnchor>
  <xdr:twoCellAnchor editAs="oneCell">
    <xdr:from>
      <xdr:col>1</xdr:col>
      <xdr:colOff>175260</xdr:colOff>
      <xdr:row>0</xdr:row>
      <xdr:rowOff>91440</xdr:rowOff>
    </xdr:from>
    <xdr:to>
      <xdr:col>1</xdr:col>
      <xdr:colOff>441960</xdr:colOff>
      <xdr:row>0</xdr:row>
      <xdr:rowOff>358140</xdr:rowOff>
    </xdr:to>
    <xdr:pic>
      <xdr:nvPicPr>
        <xdr:cNvPr id="6" name="Graphic 5" descr="Home with solid fill">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84860" y="91440"/>
          <a:ext cx="266700" cy="266700"/>
        </a:xfrm>
        <a:prstGeom prst="rect">
          <a:avLst/>
        </a:prstGeom>
      </xdr:spPr>
    </xdr:pic>
    <xdr:clientData/>
  </xdr:twoCellAnchor>
  <xdr:twoCellAnchor editAs="oneCell">
    <xdr:from>
      <xdr:col>4</xdr:col>
      <xdr:colOff>0</xdr:colOff>
      <xdr:row>0</xdr:row>
      <xdr:rowOff>106680</xdr:rowOff>
    </xdr:from>
    <xdr:to>
      <xdr:col>5</xdr:col>
      <xdr:colOff>579120</xdr:colOff>
      <xdr:row>0</xdr:row>
      <xdr:rowOff>426720</xdr:rowOff>
    </xdr:to>
    <xdr:grpSp>
      <xdr:nvGrpSpPr>
        <xdr:cNvPr id="38" name="Group 37">
          <a:extLst>
            <a:ext uri="{FF2B5EF4-FFF2-40B4-BE49-F238E27FC236}">
              <a16:creationId xmlns:a16="http://schemas.microsoft.com/office/drawing/2014/main" id="{00000000-0008-0000-0000-000026000000}"/>
            </a:ext>
          </a:extLst>
        </xdr:cNvPr>
        <xdr:cNvGrpSpPr/>
      </xdr:nvGrpSpPr>
      <xdr:grpSpPr>
        <a:xfrm>
          <a:off x="2438400" y="106680"/>
          <a:ext cx="1188720" cy="320040"/>
          <a:chOff x="2438400" y="106680"/>
          <a:chExt cx="1188720" cy="320040"/>
        </a:xfrm>
      </xdr:grpSpPr>
      <xdr:sp macro="[0]!GoDataset" textlink="">
        <xdr:nvSpPr>
          <xdr:cNvPr id="32" name="Rectangle: Rounded Corners 31">
            <a:extLst>
              <a:ext uri="{FF2B5EF4-FFF2-40B4-BE49-F238E27FC236}">
                <a16:creationId xmlns:a16="http://schemas.microsoft.com/office/drawing/2014/main" id="{00000000-0008-0000-0000-000020000000}"/>
              </a:ext>
            </a:extLst>
          </xdr:cNvPr>
          <xdr:cNvSpPr/>
        </xdr:nvSpPr>
        <xdr:spPr>
          <a:xfrm>
            <a:off x="243840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Dataset</a:t>
            </a:r>
          </a:p>
        </xdr:txBody>
      </xdr:sp>
      <xdr:pic>
        <xdr:nvPicPr>
          <xdr:cNvPr id="13" name="Graphic 12" descr="Database with solid fill">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468880" y="114300"/>
            <a:ext cx="266400" cy="266400"/>
          </a:xfrm>
          <a:prstGeom prst="rect">
            <a:avLst/>
          </a:prstGeom>
        </xdr:spPr>
      </xdr:pic>
    </xdr:grpSp>
    <xdr:clientData/>
  </xdr:twoCellAnchor>
  <xdr:twoCellAnchor editAs="oneCell">
    <xdr:from>
      <xdr:col>15</xdr:col>
      <xdr:colOff>571500</xdr:colOff>
      <xdr:row>0</xdr:row>
      <xdr:rowOff>106680</xdr:rowOff>
    </xdr:from>
    <xdr:to>
      <xdr:col>18</xdr:col>
      <xdr:colOff>15240</xdr:colOff>
      <xdr:row>0</xdr:row>
      <xdr:rowOff>426720</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10218420" y="106680"/>
          <a:ext cx="1272540" cy="320040"/>
          <a:chOff x="9715500" y="106680"/>
          <a:chExt cx="1272540" cy="320040"/>
        </a:xfrm>
      </xdr:grpSpPr>
      <xdr:sp macro="[0]!GoTaxReport" textlink="">
        <xdr:nvSpPr>
          <xdr:cNvPr id="36" name="Rectangle: Rounded Corners 35">
            <a:extLst>
              <a:ext uri="{FF2B5EF4-FFF2-40B4-BE49-F238E27FC236}">
                <a16:creationId xmlns:a16="http://schemas.microsoft.com/office/drawing/2014/main" id="{00000000-0008-0000-0000-000024000000}"/>
              </a:ext>
            </a:extLst>
          </xdr:cNvPr>
          <xdr:cNvSpPr/>
        </xdr:nvSpPr>
        <xdr:spPr>
          <a:xfrm>
            <a:off x="979932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Tax Report</a:t>
            </a:r>
          </a:p>
        </xdr:txBody>
      </xdr:sp>
      <xdr:pic>
        <xdr:nvPicPr>
          <xdr:cNvPr id="15" name="Graphic 14" descr="Document with solid fill">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9715500" y="114300"/>
            <a:ext cx="266400" cy="266400"/>
          </a:xfrm>
          <a:prstGeom prst="rect">
            <a:avLst/>
          </a:prstGeom>
        </xdr:spPr>
      </xdr:pic>
    </xdr:grpSp>
    <xdr:clientData/>
  </xdr:twoCellAnchor>
  <xdr:twoCellAnchor editAs="oneCell">
    <xdr:from>
      <xdr:col>6</xdr:col>
      <xdr:colOff>30480</xdr:colOff>
      <xdr:row>0</xdr:row>
      <xdr:rowOff>106680</xdr:rowOff>
    </xdr:from>
    <xdr:to>
      <xdr:col>8</xdr:col>
      <xdr:colOff>129540</xdr:colOff>
      <xdr:row>0</xdr:row>
      <xdr:rowOff>426720</xdr:rowOff>
    </xdr:to>
    <xdr:grpSp>
      <xdr:nvGrpSpPr>
        <xdr:cNvPr id="40" name="Group 39">
          <a:extLst>
            <a:ext uri="{FF2B5EF4-FFF2-40B4-BE49-F238E27FC236}">
              <a16:creationId xmlns:a16="http://schemas.microsoft.com/office/drawing/2014/main" id="{00000000-0008-0000-0000-000028000000}"/>
            </a:ext>
          </a:extLst>
        </xdr:cNvPr>
        <xdr:cNvGrpSpPr/>
      </xdr:nvGrpSpPr>
      <xdr:grpSpPr>
        <a:xfrm>
          <a:off x="4191000" y="106680"/>
          <a:ext cx="1318260" cy="320040"/>
          <a:chOff x="4160520" y="106680"/>
          <a:chExt cx="1318260" cy="320040"/>
        </a:xfrm>
      </xdr:grpSpPr>
      <xdr:sp macro="[0]!GoDashboard" textlink="">
        <xdr:nvSpPr>
          <xdr:cNvPr id="33" name="Rectangle: Rounded Corners 32">
            <a:extLst>
              <a:ext uri="{FF2B5EF4-FFF2-40B4-BE49-F238E27FC236}">
                <a16:creationId xmlns:a16="http://schemas.microsoft.com/office/drawing/2014/main" id="{00000000-0008-0000-0000-000021000000}"/>
              </a:ext>
            </a:extLst>
          </xdr:cNvPr>
          <xdr:cNvSpPr/>
        </xdr:nvSpPr>
        <xdr:spPr>
          <a:xfrm>
            <a:off x="429006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Dashboard</a:t>
            </a:r>
          </a:p>
        </xdr:txBody>
      </xdr:sp>
      <xdr:pic>
        <xdr:nvPicPr>
          <xdr:cNvPr id="17" name="Graphic 16" descr="Presentation with bar chart with solid fill">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160520" y="129540"/>
            <a:ext cx="266400" cy="266400"/>
          </a:xfrm>
          <a:prstGeom prst="rect">
            <a:avLst/>
          </a:prstGeom>
        </xdr:spPr>
      </xdr:pic>
    </xdr:grpSp>
    <xdr:clientData/>
  </xdr:twoCellAnchor>
  <xdr:twoCellAnchor editAs="oneCell">
    <xdr:from>
      <xdr:col>9</xdr:col>
      <xdr:colOff>350520</xdr:colOff>
      <xdr:row>0</xdr:row>
      <xdr:rowOff>106680</xdr:rowOff>
    </xdr:from>
    <xdr:to>
      <xdr:col>11</xdr:col>
      <xdr:colOff>381000</xdr:colOff>
      <xdr:row>0</xdr:row>
      <xdr:rowOff>426720</xdr:rowOff>
    </xdr:to>
    <xdr:grpSp>
      <xdr:nvGrpSpPr>
        <xdr:cNvPr id="41" name="Group 40">
          <a:extLst>
            <a:ext uri="{FF2B5EF4-FFF2-40B4-BE49-F238E27FC236}">
              <a16:creationId xmlns:a16="http://schemas.microsoft.com/office/drawing/2014/main" id="{00000000-0008-0000-0000-000029000000}"/>
            </a:ext>
          </a:extLst>
        </xdr:cNvPr>
        <xdr:cNvGrpSpPr/>
      </xdr:nvGrpSpPr>
      <xdr:grpSpPr>
        <a:xfrm>
          <a:off x="6339840" y="106680"/>
          <a:ext cx="1249680" cy="320040"/>
          <a:chOff x="6050280" y="106680"/>
          <a:chExt cx="1249680" cy="320040"/>
        </a:xfrm>
      </xdr:grpSpPr>
      <xdr:sp macro="[0]!GoCategories" textlink="">
        <xdr:nvSpPr>
          <xdr:cNvPr id="34" name="Rectangle: Rounded Corners 33">
            <a:extLst>
              <a:ext uri="{FF2B5EF4-FFF2-40B4-BE49-F238E27FC236}">
                <a16:creationId xmlns:a16="http://schemas.microsoft.com/office/drawing/2014/main" id="{00000000-0008-0000-0000-000022000000}"/>
              </a:ext>
            </a:extLst>
          </xdr:cNvPr>
          <xdr:cNvSpPr/>
        </xdr:nvSpPr>
        <xdr:spPr>
          <a:xfrm>
            <a:off x="611124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Categories</a:t>
            </a:r>
          </a:p>
        </xdr:txBody>
      </xdr:sp>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050280" y="152400"/>
            <a:ext cx="216000" cy="216000"/>
          </a:xfrm>
          <a:prstGeom prst="rect">
            <a:avLst/>
          </a:prstGeom>
        </xdr:spPr>
      </xdr:pic>
    </xdr:grpSp>
    <xdr:clientData/>
  </xdr:twoCellAnchor>
  <xdr:twoCellAnchor editAs="oneCell">
    <xdr:from>
      <xdr:col>12</xdr:col>
      <xdr:colOff>441960</xdr:colOff>
      <xdr:row>0</xdr:row>
      <xdr:rowOff>106680</xdr:rowOff>
    </xdr:from>
    <xdr:to>
      <xdr:col>14</xdr:col>
      <xdr:colOff>563880</xdr:colOff>
      <xdr:row>0</xdr:row>
      <xdr:rowOff>426720</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8260080" y="106680"/>
          <a:ext cx="1341120" cy="320040"/>
          <a:chOff x="7757160" y="106680"/>
          <a:chExt cx="1341120" cy="320040"/>
        </a:xfrm>
      </xdr:grpSpPr>
      <xdr:sp macro="[0]!GoTaxSummary" textlink="">
        <xdr:nvSpPr>
          <xdr:cNvPr id="35" name="Rectangle: Rounded Corners 34">
            <a:extLst>
              <a:ext uri="{FF2B5EF4-FFF2-40B4-BE49-F238E27FC236}">
                <a16:creationId xmlns:a16="http://schemas.microsoft.com/office/drawing/2014/main" id="{00000000-0008-0000-0000-000023000000}"/>
              </a:ext>
            </a:extLst>
          </xdr:cNvPr>
          <xdr:cNvSpPr/>
        </xdr:nvSpPr>
        <xdr:spPr>
          <a:xfrm>
            <a:off x="790956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Tax Summary</a:t>
            </a:r>
          </a:p>
        </xdr:txBody>
      </xdr:sp>
      <xdr:pic>
        <xdr:nvPicPr>
          <xdr:cNvPr id="27" name="Graphic 26" descr="Tax with solid fill">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757160" y="129540"/>
            <a:ext cx="266400" cy="2664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4</xdr:col>
          <xdr:colOff>403860</xdr:colOff>
          <xdr:row>27</xdr:row>
          <xdr:rowOff>38100</xdr:rowOff>
        </xdr:from>
        <xdr:to>
          <xdr:col>5</xdr:col>
          <xdr:colOff>960120</xdr:colOff>
          <xdr:row>29</xdr:row>
          <xdr:rowOff>129540</xdr:rowOff>
        </xdr:to>
        <xdr:sp macro="" textlink="">
          <xdr:nvSpPr>
            <xdr:cNvPr id="1026" name="BottomTab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182880</xdr:colOff>
          <xdr:row>27</xdr:row>
          <xdr:rowOff>45720</xdr:rowOff>
        </xdr:from>
        <xdr:to>
          <xdr:col>8</xdr:col>
          <xdr:colOff>129540</xdr:colOff>
          <xdr:row>29</xdr:row>
          <xdr:rowOff>137160</xdr:rowOff>
        </xdr:to>
        <xdr:sp macro="" textlink="">
          <xdr:nvSpPr>
            <xdr:cNvPr id="1028" name="ShowFormula"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464820</xdr:colOff>
          <xdr:row>27</xdr:row>
          <xdr:rowOff>45720</xdr:rowOff>
        </xdr:from>
        <xdr:to>
          <xdr:col>10</xdr:col>
          <xdr:colOff>411480</xdr:colOff>
          <xdr:row>29</xdr:row>
          <xdr:rowOff>137160</xdr:rowOff>
        </xdr:to>
        <xdr:sp macro="" textlink="">
          <xdr:nvSpPr>
            <xdr:cNvPr id="1029" name="ShowRowCol"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27</xdr:row>
          <xdr:rowOff>60960</xdr:rowOff>
        </xdr:from>
        <xdr:to>
          <xdr:col>13</xdr:col>
          <xdr:colOff>91440</xdr:colOff>
          <xdr:row>29</xdr:row>
          <xdr:rowOff>152400</xdr:rowOff>
        </xdr:to>
        <xdr:sp macro="" textlink="">
          <xdr:nvSpPr>
            <xdr:cNvPr id="1030" name="ShowRibbon"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556260</xdr:colOff>
      <xdr:row>27</xdr:row>
      <xdr:rowOff>60960</xdr:rowOff>
    </xdr:from>
    <xdr:to>
      <xdr:col>16</xdr:col>
      <xdr:colOff>0</xdr:colOff>
      <xdr:row>29</xdr:row>
      <xdr:rowOff>144780</xdr:rowOff>
    </xdr:to>
    <xdr:sp macro="[0]!Sheet12.ProtectUnprotect" textlink="">
      <xdr:nvSpPr>
        <xdr:cNvPr id="2" name="Rectangle 1">
          <a:extLst>
            <a:ext uri="{FF2B5EF4-FFF2-40B4-BE49-F238E27FC236}">
              <a16:creationId xmlns:a16="http://schemas.microsoft.com/office/drawing/2014/main" id="{00000000-0008-0000-0000-000002000000}"/>
            </a:ext>
          </a:extLst>
        </xdr:cNvPr>
        <xdr:cNvSpPr/>
      </xdr:nvSpPr>
      <xdr:spPr>
        <a:xfrm>
          <a:off x="8983980" y="6522720"/>
          <a:ext cx="1272540" cy="457200"/>
        </a:xfrm>
        <a:prstGeom prst="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t>Protect/Unprotect</a:t>
          </a:r>
          <a:r>
            <a:rPr lang="en-MY" sz="1100" baseline="0"/>
            <a:t> Worksheets</a:t>
          </a:r>
          <a:endParaRPr lang="en-MY"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217713</xdr:colOff>
      <xdr:row>8</xdr:row>
      <xdr:rowOff>32656</xdr:rowOff>
    </xdr:from>
    <xdr:to>
      <xdr:col>27</xdr:col>
      <xdr:colOff>239485</xdr:colOff>
      <xdr:row>27</xdr:row>
      <xdr:rowOff>174170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892629</xdr:colOff>
      <xdr:row>28</xdr:row>
      <xdr:rowOff>54428</xdr:rowOff>
    </xdr:from>
    <xdr:to>
      <xdr:col>8</xdr:col>
      <xdr:colOff>607870</xdr:colOff>
      <xdr:row>30</xdr:row>
      <xdr:rowOff>142428</xdr:rowOff>
    </xdr:to>
    <xdr:sp macro="[0]!Sheet5.SaveSummaryAsPDF" textlink="">
      <xdr:nvSpPr>
        <xdr:cNvPr id="4" name="Rectangle 3">
          <a:extLst>
            <a:ext uri="{FF2B5EF4-FFF2-40B4-BE49-F238E27FC236}">
              <a16:creationId xmlns:a16="http://schemas.microsoft.com/office/drawing/2014/main" id="{00000000-0008-0000-0100-000004000000}"/>
            </a:ext>
          </a:extLst>
        </xdr:cNvPr>
        <xdr:cNvSpPr/>
      </xdr:nvSpPr>
      <xdr:spPr>
        <a:xfrm>
          <a:off x="4648200" y="7326085"/>
          <a:ext cx="2240727" cy="501657"/>
        </a:xfrm>
        <a:prstGeom prst="rect">
          <a:avLst/>
        </a:prstGeom>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MY" sz="1600">
              <a:latin typeface="Avenir Next LT Pro" panose="020B0504020202020204" pitchFamily="34" charset="0"/>
            </a:rPr>
            <a:t>Save  as PDF</a:t>
          </a:r>
        </a:p>
      </xdr:txBody>
    </xdr:sp>
    <xdr:clientData/>
  </xdr:twoCellAnchor>
  <xdr:twoCellAnchor editAs="oneCell">
    <xdr:from>
      <xdr:col>1</xdr:col>
      <xdr:colOff>53340</xdr:colOff>
      <xdr:row>0</xdr:row>
      <xdr:rowOff>91440</xdr:rowOff>
    </xdr:from>
    <xdr:to>
      <xdr:col>3</xdr:col>
      <xdr:colOff>137160</xdr:colOff>
      <xdr:row>0</xdr:row>
      <xdr:rowOff>411480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546399" y="91440"/>
          <a:ext cx="1186479" cy="320040"/>
          <a:chOff x="662940" y="91440"/>
          <a:chExt cx="1188720" cy="320040"/>
        </a:xfrm>
      </xdr:grpSpPr>
      <xdr:sp macro="[0]!GoHome" textlink="">
        <xdr:nvSpPr>
          <xdr:cNvPr id="5" name="Rectangle: Rounded Corners 4">
            <a:extLst>
              <a:ext uri="{FF2B5EF4-FFF2-40B4-BE49-F238E27FC236}">
                <a16:creationId xmlns:a16="http://schemas.microsoft.com/office/drawing/2014/main" id="{00000000-0008-0000-0100-000005000000}"/>
              </a:ext>
            </a:extLst>
          </xdr:cNvPr>
          <xdr:cNvSpPr/>
        </xdr:nvSpPr>
        <xdr:spPr>
          <a:xfrm>
            <a:off x="662940" y="9144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Home</a:t>
            </a:r>
          </a:p>
        </xdr:txBody>
      </xdr:sp>
      <xdr:pic>
        <xdr:nvPicPr>
          <xdr:cNvPr id="6" name="Graphic 5" descr="Home with solid fill">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39140" y="91440"/>
            <a:ext cx="266700" cy="266700"/>
          </a:xfrm>
          <a:prstGeom prst="rect">
            <a:avLst/>
          </a:prstGeom>
        </xdr:spPr>
      </xdr:pic>
    </xdr:grpSp>
    <xdr:clientData/>
  </xdr:twoCellAnchor>
  <xdr:twoCellAnchor editAs="oneCell">
    <xdr:from>
      <xdr:col>3</xdr:col>
      <xdr:colOff>423333</xdr:colOff>
      <xdr:row>0</xdr:row>
      <xdr:rowOff>106680</xdr:rowOff>
    </xdr:from>
    <xdr:to>
      <xdr:col>5</xdr:col>
      <xdr:colOff>194271</xdr:colOff>
      <xdr:row>0</xdr:row>
      <xdr:rowOff>426720</xdr:rowOff>
    </xdr:to>
    <xdr:grpSp>
      <xdr:nvGrpSpPr>
        <xdr:cNvPr id="7" name="Group 6">
          <a:extLst>
            <a:ext uri="{FF2B5EF4-FFF2-40B4-BE49-F238E27FC236}">
              <a16:creationId xmlns:a16="http://schemas.microsoft.com/office/drawing/2014/main" id="{00000000-0008-0000-0100-000007000000}"/>
            </a:ext>
          </a:extLst>
        </xdr:cNvPr>
        <xdr:cNvGrpSpPr/>
      </xdr:nvGrpSpPr>
      <xdr:grpSpPr>
        <a:xfrm>
          <a:off x="2019051" y="106680"/>
          <a:ext cx="1187361" cy="320040"/>
          <a:chOff x="2438400" y="106680"/>
          <a:chExt cx="1188720" cy="320040"/>
        </a:xfrm>
      </xdr:grpSpPr>
      <xdr:sp macro="[0]!GoDataset" textlink="">
        <xdr:nvSpPr>
          <xdr:cNvPr id="8" name="Rectangle: Rounded Corners 7">
            <a:extLst>
              <a:ext uri="{FF2B5EF4-FFF2-40B4-BE49-F238E27FC236}">
                <a16:creationId xmlns:a16="http://schemas.microsoft.com/office/drawing/2014/main" id="{00000000-0008-0000-0100-000008000000}"/>
              </a:ext>
            </a:extLst>
          </xdr:cNvPr>
          <xdr:cNvSpPr/>
        </xdr:nvSpPr>
        <xdr:spPr>
          <a:xfrm>
            <a:off x="243840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Dataset</a:t>
            </a:r>
          </a:p>
        </xdr:txBody>
      </xdr:sp>
      <xdr:pic>
        <xdr:nvPicPr>
          <xdr:cNvPr id="9" name="Graphic 8" descr="Database with solid fill">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468880" y="114300"/>
            <a:ext cx="266400" cy="266400"/>
          </a:xfrm>
          <a:prstGeom prst="rect">
            <a:avLst/>
          </a:prstGeom>
        </xdr:spPr>
      </xdr:pic>
    </xdr:grpSp>
    <xdr:clientData/>
  </xdr:twoCellAnchor>
  <xdr:twoCellAnchor editAs="oneCell">
    <xdr:from>
      <xdr:col>10</xdr:col>
      <xdr:colOff>440651</xdr:colOff>
      <xdr:row>0</xdr:row>
      <xdr:rowOff>106680</xdr:rowOff>
    </xdr:from>
    <xdr:to>
      <xdr:col>12</xdr:col>
      <xdr:colOff>562275</xdr:colOff>
      <xdr:row>0</xdr:row>
      <xdr:rowOff>426720</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9127451" y="106680"/>
          <a:ext cx="1322895" cy="320040"/>
          <a:chOff x="9715500" y="106680"/>
          <a:chExt cx="1327310" cy="320040"/>
        </a:xfrm>
      </xdr:grpSpPr>
      <xdr:sp macro="[0]!GoTaxReport"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985409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Tax Report</a:t>
            </a:r>
          </a:p>
        </xdr:txBody>
      </xdr:sp>
      <xdr:pic>
        <xdr:nvPicPr>
          <xdr:cNvPr id="12" name="Graphic 11" descr="Document with solid fill">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9715500" y="114300"/>
            <a:ext cx="266400" cy="266400"/>
          </a:xfrm>
          <a:prstGeom prst="rect">
            <a:avLst/>
          </a:prstGeom>
        </xdr:spPr>
      </xdr:pic>
    </xdr:grpSp>
    <xdr:clientData/>
  </xdr:twoCellAnchor>
  <xdr:twoCellAnchor editAs="oneCell">
    <xdr:from>
      <xdr:col>6</xdr:col>
      <xdr:colOff>2617</xdr:colOff>
      <xdr:row>0</xdr:row>
      <xdr:rowOff>106680</xdr:rowOff>
    </xdr:from>
    <xdr:to>
      <xdr:col>6</xdr:col>
      <xdr:colOff>1321262</xdr:colOff>
      <xdr:row>0</xdr:row>
      <xdr:rowOff>426720</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740899" y="106680"/>
          <a:ext cx="1318645" cy="320040"/>
          <a:chOff x="4160520" y="106680"/>
          <a:chExt cx="1318260" cy="320040"/>
        </a:xfrm>
      </xdr:grpSpPr>
      <xdr:sp macro="[0]!GoDashboard"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429006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Dashboard</a:t>
            </a:r>
          </a:p>
        </xdr:txBody>
      </xdr:sp>
      <xdr:pic>
        <xdr:nvPicPr>
          <xdr:cNvPr id="15" name="Graphic 14" descr="Presentation with bar chart with solid fill">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160520" y="129540"/>
            <a:ext cx="266400" cy="266400"/>
          </a:xfrm>
          <a:prstGeom prst="rect">
            <a:avLst/>
          </a:prstGeom>
        </xdr:spPr>
      </xdr:pic>
    </xdr:grpSp>
    <xdr:clientData/>
  </xdr:twoCellAnchor>
  <xdr:twoCellAnchor editAs="oneCell">
    <xdr:from>
      <xdr:col>7</xdr:col>
      <xdr:colOff>371455</xdr:colOff>
      <xdr:row>0</xdr:row>
      <xdr:rowOff>106680</xdr:rowOff>
    </xdr:from>
    <xdr:to>
      <xdr:col>8</xdr:col>
      <xdr:colOff>666250</xdr:colOff>
      <xdr:row>0</xdr:row>
      <xdr:rowOff>426720</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5669596" y="106680"/>
          <a:ext cx="1245054" cy="320040"/>
          <a:chOff x="6050280" y="106680"/>
          <a:chExt cx="1249680" cy="320040"/>
        </a:xfrm>
      </xdr:grpSpPr>
      <xdr:sp macro="[0]!GoCategories"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611124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Categories</a:t>
            </a:r>
          </a:p>
        </xdr:txBody>
      </xdr:sp>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050280" y="152400"/>
            <a:ext cx="216000" cy="216000"/>
          </a:xfrm>
          <a:prstGeom prst="rect">
            <a:avLst/>
          </a:prstGeom>
        </xdr:spPr>
      </xdr:pic>
    </xdr:grpSp>
    <xdr:clientData/>
  </xdr:twoCellAnchor>
  <xdr:twoCellAnchor editAs="oneCell">
    <xdr:from>
      <xdr:col>8</xdr:col>
      <xdr:colOff>1069880</xdr:colOff>
      <xdr:row>0</xdr:row>
      <xdr:rowOff>106680</xdr:rowOff>
    </xdr:from>
    <xdr:to>
      <xdr:col>9</xdr:col>
      <xdr:colOff>887154</xdr:colOff>
      <xdr:row>0</xdr:row>
      <xdr:rowOff>426720</xdr:rowOff>
    </xdr:to>
    <xdr:sp macro="[0]!GoTaxSummary" textlink="">
      <xdr:nvSpPr>
        <xdr:cNvPr id="20" name="Rectangle: Rounded Corners 19">
          <a:extLst>
            <a:ext uri="{FF2B5EF4-FFF2-40B4-BE49-F238E27FC236}">
              <a16:creationId xmlns:a16="http://schemas.microsoft.com/office/drawing/2014/main" id="{00000000-0008-0000-0100-000014000000}"/>
            </a:ext>
          </a:extLst>
        </xdr:cNvPr>
        <xdr:cNvSpPr/>
      </xdr:nvSpPr>
      <xdr:spPr>
        <a:xfrm>
          <a:off x="7319819" y="106680"/>
          <a:ext cx="1325880" cy="320040"/>
        </a:xfrm>
        <a:prstGeom prst="roundRect">
          <a:avLst>
            <a:gd name="adj" fmla="val 5556"/>
          </a:avLst>
        </a:prstGeom>
        <a:solidFill>
          <a:schemeClr val="tx2">
            <a:lumMod val="60000"/>
            <a:lumOff val="40000"/>
          </a:schemeClr>
        </a:solidFill>
        <a:ln>
          <a:noFill/>
        </a:ln>
        <a:effectLst>
          <a:innerShdw blurRad="635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 Tax Summary</a:t>
          </a:r>
        </a:p>
      </xdr:txBody>
    </xdr:sp>
    <xdr:clientData/>
  </xdr:twoCellAnchor>
  <xdr:twoCellAnchor editAs="oneCell">
    <xdr:from>
      <xdr:col>8</xdr:col>
      <xdr:colOff>1073112</xdr:colOff>
      <xdr:row>0</xdr:row>
      <xdr:rowOff>144934</xdr:rowOff>
    </xdr:from>
    <xdr:to>
      <xdr:col>8</xdr:col>
      <xdr:colOff>1302983</xdr:colOff>
      <xdr:row>0</xdr:row>
      <xdr:rowOff>375334</xdr:rowOff>
    </xdr:to>
    <xdr:pic>
      <xdr:nvPicPr>
        <xdr:cNvPr id="21" name="Graphic 20" descr="Tax with solid fill">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323051" y="144934"/>
          <a:ext cx="229871" cy="230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708660</xdr:colOff>
          <xdr:row>59</xdr:row>
          <xdr:rowOff>0</xdr:rowOff>
        </xdr:from>
        <xdr:to>
          <xdr:col>12</xdr:col>
          <xdr:colOff>883920</xdr:colOff>
          <xdr:row>59</xdr:row>
          <xdr:rowOff>373380</xdr:rowOff>
        </xdr:to>
        <xdr:sp macro="" textlink="">
          <xdr:nvSpPr>
            <xdr:cNvPr id="7169" name="Spinner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708660</xdr:colOff>
          <xdr:row>60</xdr:row>
          <xdr:rowOff>7620</xdr:rowOff>
        </xdr:from>
        <xdr:to>
          <xdr:col>12</xdr:col>
          <xdr:colOff>891540</xdr:colOff>
          <xdr:row>60</xdr:row>
          <xdr:rowOff>381000</xdr:rowOff>
        </xdr:to>
        <xdr:sp macro="" textlink="">
          <xdr:nvSpPr>
            <xdr:cNvPr id="7170" name="Spinner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701040</xdr:colOff>
          <xdr:row>61</xdr:row>
          <xdr:rowOff>7620</xdr:rowOff>
        </xdr:from>
        <xdr:to>
          <xdr:col>12</xdr:col>
          <xdr:colOff>876300</xdr:colOff>
          <xdr:row>61</xdr:row>
          <xdr:rowOff>381000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708660</xdr:colOff>
          <xdr:row>63</xdr:row>
          <xdr:rowOff>0</xdr:rowOff>
        </xdr:from>
        <xdr:to>
          <xdr:col>12</xdr:col>
          <xdr:colOff>883920</xdr:colOff>
          <xdr:row>63</xdr:row>
          <xdr:rowOff>373380</xdr:rowOff>
        </xdr:to>
        <xdr:sp macro="" textlink="">
          <xdr:nvSpPr>
            <xdr:cNvPr id="7172" name="Spinner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708660</xdr:colOff>
          <xdr:row>64</xdr:row>
          <xdr:rowOff>7620</xdr:rowOff>
        </xdr:from>
        <xdr:to>
          <xdr:col>12</xdr:col>
          <xdr:colOff>876300</xdr:colOff>
          <xdr:row>65</xdr:row>
          <xdr:rowOff>15240</xdr:rowOff>
        </xdr:to>
        <xdr:sp macro="" textlink="">
          <xdr:nvSpPr>
            <xdr:cNvPr id="7173" name="Spinner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xdr:col>
      <xdr:colOff>1282401</xdr:colOff>
      <xdr:row>6</xdr:row>
      <xdr:rowOff>8964</xdr:rowOff>
    </xdr:from>
    <xdr:to>
      <xdr:col>2</xdr:col>
      <xdr:colOff>1567479</xdr:colOff>
      <xdr:row>6</xdr:row>
      <xdr:rowOff>1183002</xdr:rowOff>
    </xdr:to>
    <xdr:pic>
      <xdr:nvPicPr>
        <xdr:cNvPr id="3" name="Picture 2" descr="Lembaga Hasil Dalam Negeri Logo PNG Vector (EPS) Free Download">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79581" y="976704"/>
          <a:ext cx="1568375" cy="11740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8</xdr:col>
          <xdr:colOff>53340</xdr:colOff>
          <xdr:row>95</xdr:row>
          <xdr:rowOff>137160</xdr:rowOff>
        </xdr:from>
        <xdr:to>
          <xdr:col>9</xdr:col>
          <xdr:colOff>640080</xdr:colOff>
          <xdr:row>97</xdr:row>
          <xdr:rowOff>137160</xdr:rowOff>
        </xdr:to>
        <xdr:sp macro="" textlink="">
          <xdr:nvSpPr>
            <xdr:cNvPr id="7174" name="TaxBracket" hidden="1">
              <a:extLst>
                <a:ext uri="{63B3BB69-23CF-44E3-9099-C40C66FF867C}">
                  <a14:compatExt spid="_x0000_s7174"/>
                </a:ext>
                <a:ext uri="{FF2B5EF4-FFF2-40B4-BE49-F238E27FC236}">
                  <a16:creationId xmlns:a16="http://schemas.microsoft.com/office/drawing/2014/main" id="{00000000-0008-0000-02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134471</xdr:colOff>
      <xdr:row>95</xdr:row>
      <xdr:rowOff>172489</xdr:rowOff>
    </xdr:from>
    <xdr:to>
      <xdr:col>15</xdr:col>
      <xdr:colOff>53339</xdr:colOff>
      <xdr:row>97</xdr:row>
      <xdr:rowOff>172123</xdr:rowOff>
    </xdr:to>
    <xdr:sp macro="[0]!Sheet7.SaveReportAsPdf" textlink="">
      <xdr:nvSpPr>
        <xdr:cNvPr id="4" name="Rectangle 3">
          <a:extLst>
            <a:ext uri="{FF2B5EF4-FFF2-40B4-BE49-F238E27FC236}">
              <a16:creationId xmlns:a16="http://schemas.microsoft.com/office/drawing/2014/main" id="{00000000-0008-0000-0200-000004000000}"/>
            </a:ext>
          </a:extLst>
        </xdr:cNvPr>
        <xdr:cNvSpPr/>
      </xdr:nvSpPr>
      <xdr:spPr>
        <a:xfrm>
          <a:off x="10766612" y="34928654"/>
          <a:ext cx="2240727" cy="501657"/>
        </a:xfrm>
        <a:prstGeom prst="rect">
          <a:avLst/>
        </a:prstGeom>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MY" sz="1600">
              <a:latin typeface="Avenir Next LT Pro" panose="020B0504020202020204" pitchFamily="34" charset="0"/>
            </a:rPr>
            <a:t>Save Report as PDF</a:t>
          </a:r>
        </a:p>
      </xdr:txBody>
    </xdr:sp>
    <xdr:clientData/>
  </xdr:twoCellAnchor>
  <xdr:twoCellAnchor editAs="oneCell">
    <xdr:from>
      <xdr:col>1</xdr:col>
      <xdr:colOff>99060</xdr:colOff>
      <xdr:row>0</xdr:row>
      <xdr:rowOff>91440</xdr:rowOff>
    </xdr:from>
    <xdr:to>
      <xdr:col>2</xdr:col>
      <xdr:colOff>457200</xdr:colOff>
      <xdr:row>0</xdr:row>
      <xdr:rowOff>411480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754380" y="91440"/>
          <a:ext cx="1188720" cy="320040"/>
          <a:chOff x="662940" y="91440"/>
          <a:chExt cx="1188720" cy="320040"/>
        </a:xfrm>
      </xdr:grpSpPr>
      <xdr:sp macro="[0]!GoHome" textlink="">
        <xdr:nvSpPr>
          <xdr:cNvPr id="5" name="Rectangle: Rounded Corners 4">
            <a:extLst>
              <a:ext uri="{FF2B5EF4-FFF2-40B4-BE49-F238E27FC236}">
                <a16:creationId xmlns:a16="http://schemas.microsoft.com/office/drawing/2014/main" id="{00000000-0008-0000-0200-000005000000}"/>
              </a:ext>
            </a:extLst>
          </xdr:cNvPr>
          <xdr:cNvSpPr/>
        </xdr:nvSpPr>
        <xdr:spPr>
          <a:xfrm>
            <a:off x="662940" y="9144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Home</a:t>
            </a:r>
          </a:p>
        </xdr:txBody>
      </xdr:sp>
      <xdr:pic>
        <xdr:nvPicPr>
          <xdr:cNvPr id="6" name="Graphic 5" descr="Home with solid fill">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39140" y="91440"/>
            <a:ext cx="266700" cy="266700"/>
          </a:xfrm>
          <a:prstGeom prst="rect">
            <a:avLst/>
          </a:prstGeom>
        </xdr:spPr>
      </xdr:pic>
    </xdr:grpSp>
    <xdr:clientData/>
  </xdr:twoCellAnchor>
  <xdr:twoCellAnchor editAs="oneCell">
    <xdr:from>
      <xdr:col>2</xdr:col>
      <xdr:colOff>708212</xdr:colOff>
      <xdr:row>0</xdr:row>
      <xdr:rowOff>106680</xdr:rowOff>
    </xdr:from>
    <xdr:to>
      <xdr:col>2</xdr:col>
      <xdr:colOff>1898725</xdr:colOff>
      <xdr:row>0</xdr:row>
      <xdr:rowOff>426720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2194112" y="106680"/>
          <a:ext cx="1190513" cy="320040"/>
          <a:chOff x="2438400" y="106680"/>
          <a:chExt cx="1188720" cy="320040"/>
        </a:xfrm>
      </xdr:grpSpPr>
      <xdr:sp macro="[0]!GoDataset" textlink="">
        <xdr:nvSpPr>
          <xdr:cNvPr id="8" name="Rectangle: Rounded Corners 7">
            <a:extLst>
              <a:ext uri="{FF2B5EF4-FFF2-40B4-BE49-F238E27FC236}">
                <a16:creationId xmlns:a16="http://schemas.microsoft.com/office/drawing/2014/main" id="{00000000-0008-0000-0200-000008000000}"/>
              </a:ext>
            </a:extLst>
          </xdr:cNvPr>
          <xdr:cNvSpPr/>
        </xdr:nvSpPr>
        <xdr:spPr>
          <a:xfrm>
            <a:off x="243840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Dataset</a:t>
            </a:r>
          </a:p>
        </xdr:txBody>
      </xdr:sp>
      <xdr:pic>
        <xdr:nvPicPr>
          <xdr:cNvPr id="9" name="Graphic 8" descr="Database with solid fill">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468880" y="114300"/>
            <a:ext cx="266400" cy="266400"/>
          </a:xfrm>
          <a:prstGeom prst="rect">
            <a:avLst/>
          </a:prstGeom>
        </xdr:spPr>
      </xdr:pic>
    </xdr:grpSp>
    <xdr:clientData/>
  </xdr:twoCellAnchor>
  <xdr:twoCellAnchor editAs="oneCell">
    <xdr:from>
      <xdr:col>9</xdr:col>
      <xdr:colOff>998308</xdr:colOff>
      <xdr:row>0</xdr:row>
      <xdr:rowOff>106680</xdr:rowOff>
    </xdr:from>
    <xdr:to>
      <xdr:col>10</xdr:col>
      <xdr:colOff>950259</xdr:colOff>
      <xdr:row>0</xdr:row>
      <xdr:rowOff>426720</xdr:rowOff>
    </xdr:to>
    <xdr:sp macro="[0]!GoTaxReport"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8905179" y="106680"/>
          <a:ext cx="1341480" cy="320040"/>
        </a:xfrm>
        <a:prstGeom prst="roundRect">
          <a:avLst>
            <a:gd name="adj" fmla="val 5556"/>
          </a:avLst>
        </a:prstGeom>
        <a:solidFill>
          <a:schemeClr val="tx2">
            <a:lumMod val="60000"/>
            <a:lumOff val="40000"/>
          </a:schemeClr>
        </a:solidFill>
        <a:ln>
          <a:noFill/>
        </a:ln>
        <a:effectLst>
          <a:innerShdw blurRad="635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Tax Report</a:t>
          </a:r>
        </a:p>
      </xdr:txBody>
    </xdr:sp>
    <xdr:clientData/>
  </xdr:twoCellAnchor>
  <xdr:twoCellAnchor editAs="oneCell">
    <xdr:from>
      <xdr:col>9</xdr:col>
      <xdr:colOff>1021979</xdr:colOff>
      <xdr:row>0</xdr:row>
      <xdr:rowOff>114300</xdr:rowOff>
    </xdr:from>
    <xdr:to>
      <xdr:col>9</xdr:col>
      <xdr:colOff>1277849</xdr:colOff>
      <xdr:row>0</xdr:row>
      <xdr:rowOff>369900</xdr:rowOff>
    </xdr:to>
    <xdr:pic>
      <xdr:nvPicPr>
        <xdr:cNvPr id="12" name="Graphic 11" descr="Document with solid fill">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8928850" y="114300"/>
          <a:ext cx="255870" cy="255600"/>
        </a:xfrm>
        <a:prstGeom prst="rect">
          <a:avLst/>
        </a:prstGeom>
      </xdr:spPr>
    </xdr:pic>
    <xdr:clientData/>
  </xdr:twoCellAnchor>
  <xdr:twoCellAnchor editAs="oneCell">
    <xdr:from>
      <xdr:col>2</xdr:col>
      <xdr:colOff>2170356</xdr:colOff>
      <xdr:row>0</xdr:row>
      <xdr:rowOff>106680</xdr:rowOff>
    </xdr:from>
    <xdr:to>
      <xdr:col>4</xdr:col>
      <xdr:colOff>509196</xdr:colOff>
      <xdr:row>0</xdr:row>
      <xdr:rowOff>426720</xdr:rowOff>
    </xdr:to>
    <xdr:grpSp>
      <xdr:nvGrpSpPr>
        <xdr:cNvPr id="13" name="Group 12">
          <a:extLst>
            <a:ext uri="{FF2B5EF4-FFF2-40B4-BE49-F238E27FC236}">
              <a16:creationId xmlns:a16="http://schemas.microsoft.com/office/drawing/2014/main" id="{00000000-0008-0000-0200-00000D000000}"/>
            </a:ext>
          </a:extLst>
        </xdr:cNvPr>
        <xdr:cNvGrpSpPr/>
      </xdr:nvGrpSpPr>
      <xdr:grpSpPr>
        <a:xfrm>
          <a:off x="3656256" y="106680"/>
          <a:ext cx="1325880" cy="320040"/>
          <a:chOff x="4160520" y="106680"/>
          <a:chExt cx="1318260" cy="320040"/>
        </a:xfrm>
      </xdr:grpSpPr>
      <xdr:sp macro="[0]!GoDashboard"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429006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Dashboard</a:t>
            </a:r>
          </a:p>
        </xdr:txBody>
      </xdr:sp>
      <xdr:pic>
        <xdr:nvPicPr>
          <xdr:cNvPr id="15" name="Graphic 14" descr="Presentation with bar chart with solid fill">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160520" y="129540"/>
            <a:ext cx="266400" cy="266400"/>
          </a:xfrm>
          <a:prstGeom prst="rect">
            <a:avLst/>
          </a:prstGeom>
        </xdr:spPr>
      </xdr:pic>
    </xdr:grpSp>
    <xdr:clientData/>
  </xdr:twoCellAnchor>
  <xdr:twoCellAnchor editAs="oneCell">
    <xdr:from>
      <xdr:col>4</xdr:col>
      <xdr:colOff>922469</xdr:colOff>
      <xdr:row>0</xdr:row>
      <xdr:rowOff>106680</xdr:rowOff>
    </xdr:from>
    <xdr:to>
      <xdr:col>6</xdr:col>
      <xdr:colOff>1045285</xdr:colOff>
      <xdr:row>0</xdr:row>
      <xdr:rowOff>426720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5395409" y="106680"/>
          <a:ext cx="1250576" cy="320040"/>
          <a:chOff x="6050280" y="106680"/>
          <a:chExt cx="1249680" cy="320040"/>
        </a:xfrm>
      </xdr:grpSpPr>
      <xdr:sp macro="[0]!GoCategories"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611124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Categories</a:t>
            </a:r>
          </a:p>
        </xdr:txBody>
      </xdr:sp>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050280" y="152400"/>
            <a:ext cx="216000" cy="216000"/>
          </a:xfrm>
          <a:prstGeom prst="rect">
            <a:avLst/>
          </a:prstGeom>
        </xdr:spPr>
      </xdr:pic>
    </xdr:grpSp>
    <xdr:clientData/>
  </xdr:twoCellAnchor>
  <xdr:twoCellAnchor editAs="oneCell">
    <xdr:from>
      <xdr:col>7</xdr:col>
      <xdr:colOff>110268</xdr:colOff>
      <xdr:row>0</xdr:row>
      <xdr:rowOff>106680</xdr:rowOff>
    </xdr:from>
    <xdr:to>
      <xdr:col>9</xdr:col>
      <xdr:colOff>441514</xdr:colOff>
      <xdr:row>0</xdr:row>
      <xdr:rowOff>426720</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7006368" y="106680"/>
          <a:ext cx="1329466" cy="320040"/>
          <a:chOff x="7757160" y="106680"/>
          <a:chExt cx="1341120" cy="320040"/>
        </a:xfrm>
      </xdr:grpSpPr>
      <xdr:sp macro="[0]!GoTaxSummary"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790956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Tax Summary</a:t>
            </a:r>
          </a:p>
        </xdr:txBody>
      </xdr:sp>
      <xdr:pic>
        <xdr:nvPicPr>
          <xdr:cNvPr id="21" name="Graphic 20" descr="Tax with solid fill">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757160" y="129540"/>
            <a:ext cx="266400" cy="26640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53340</xdr:colOff>
      <xdr:row>0</xdr:row>
      <xdr:rowOff>91440</xdr:rowOff>
    </xdr:from>
    <xdr:to>
      <xdr:col>1</xdr:col>
      <xdr:colOff>1242060</xdr:colOff>
      <xdr:row>0</xdr:row>
      <xdr:rowOff>411480</xdr:rowOff>
    </xdr:to>
    <xdr:grpSp>
      <xdr:nvGrpSpPr>
        <xdr:cNvPr id="56" name="Group 55">
          <a:extLst>
            <a:ext uri="{FF2B5EF4-FFF2-40B4-BE49-F238E27FC236}">
              <a16:creationId xmlns:a16="http://schemas.microsoft.com/office/drawing/2014/main" id="{00000000-0008-0000-0300-000038000000}"/>
            </a:ext>
          </a:extLst>
        </xdr:cNvPr>
        <xdr:cNvGrpSpPr/>
      </xdr:nvGrpSpPr>
      <xdr:grpSpPr>
        <a:xfrm>
          <a:off x="457200" y="91440"/>
          <a:ext cx="1188720" cy="320040"/>
          <a:chOff x="662940" y="91440"/>
          <a:chExt cx="1188720" cy="320040"/>
        </a:xfrm>
      </xdr:grpSpPr>
      <xdr:sp macro="[0]!GoHome" textlink="">
        <xdr:nvSpPr>
          <xdr:cNvPr id="57" name="Rectangle: Rounded Corners 56">
            <a:extLst>
              <a:ext uri="{FF2B5EF4-FFF2-40B4-BE49-F238E27FC236}">
                <a16:creationId xmlns:a16="http://schemas.microsoft.com/office/drawing/2014/main" id="{00000000-0008-0000-0300-000039000000}"/>
              </a:ext>
            </a:extLst>
          </xdr:cNvPr>
          <xdr:cNvSpPr/>
        </xdr:nvSpPr>
        <xdr:spPr>
          <a:xfrm>
            <a:off x="662940" y="9144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Home</a:t>
            </a:r>
          </a:p>
        </xdr:txBody>
      </xdr:sp>
      <xdr:pic>
        <xdr:nvPicPr>
          <xdr:cNvPr id="58" name="Graphic 57" descr="Home with solid fill">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9140" y="91440"/>
            <a:ext cx="266700" cy="266700"/>
          </a:xfrm>
          <a:prstGeom prst="rect">
            <a:avLst/>
          </a:prstGeom>
        </xdr:spPr>
      </xdr:pic>
    </xdr:grpSp>
    <xdr:clientData/>
  </xdr:twoCellAnchor>
  <xdr:twoCellAnchor>
    <xdr:from>
      <xdr:col>1</xdr:col>
      <xdr:colOff>1379220</xdr:colOff>
      <xdr:row>0</xdr:row>
      <xdr:rowOff>106680</xdr:rowOff>
    </xdr:from>
    <xdr:to>
      <xdr:col>1</xdr:col>
      <xdr:colOff>2567940</xdr:colOff>
      <xdr:row>0</xdr:row>
      <xdr:rowOff>426720</xdr:rowOff>
    </xdr:to>
    <xdr:grpSp>
      <xdr:nvGrpSpPr>
        <xdr:cNvPr id="75" name="Group 74">
          <a:extLst>
            <a:ext uri="{FF2B5EF4-FFF2-40B4-BE49-F238E27FC236}">
              <a16:creationId xmlns:a16="http://schemas.microsoft.com/office/drawing/2014/main" id="{00000000-0008-0000-0300-00004B000000}"/>
            </a:ext>
          </a:extLst>
        </xdr:cNvPr>
        <xdr:cNvGrpSpPr/>
      </xdr:nvGrpSpPr>
      <xdr:grpSpPr>
        <a:xfrm>
          <a:off x="1783080" y="106680"/>
          <a:ext cx="1188720" cy="320040"/>
          <a:chOff x="1783080" y="106680"/>
          <a:chExt cx="1188720" cy="320040"/>
        </a:xfrm>
      </xdr:grpSpPr>
      <xdr:sp macro="[0]!GoDataset"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1783080" y="106680"/>
            <a:ext cx="1188720" cy="320040"/>
          </a:xfrm>
          <a:prstGeom prst="roundRect">
            <a:avLst>
              <a:gd name="adj" fmla="val 5556"/>
            </a:avLst>
          </a:prstGeom>
          <a:solidFill>
            <a:schemeClr val="tx2"/>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Dataset</a:t>
            </a:r>
          </a:p>
        </xdr:txBody>
      </xdr:sp>
      <xdr:pic>
        <xdr:nvPicPr>
          <xdr:cNvPr id="61" name="Graphic 60" descr="Database with solid fill">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13560" y="114300"/>
            <a:ext cx="266400" cy="266400"/>
          </a:xfrm>
          <a:prstGeom prst="rect">
            <a:avLst/>
          </a:prstGeom>
        </xdr:spPr>
      </xdr:pic>
    </xdr:grpSp>
    <xdr:clientData/>
  </xdr:twoCellAnchor>
  <xdr:twoCellAnchor editAs="oneCell">
    <xdr:from>
      <xdr:col>4</xdr:col>
      <xdr:colOff>297180</xdr:colOff>
      <xdr:row>0</xdr:row>
      <xdr:rowOff>106680</xdr:rowOff>
    </xdr:from>
    <xdr:to>
      <xdr:col>5</xdr:col>
      <xdr:colOff>624840</xdr:colOff>
      <xdr:row>0</xdr:row>
      <xdr:rowOff>426720</xdr:rowOff>
    </xdr:to>
    <xdr:grpSp>
      <xdr:nvGrpSpPr>
        <xdr:cNvPr id="62" name="Group 61">
          <a:extLst>
            <a:ext uri="{FF2B5EF4-FFF2-40B4-BE49-F238E27FC236}">
              <a16:creationId xmlns:a16="http://schemas.microsoft.com/office/drawing/2014/main" id="{00000000-0008-0000-0300-00003E000000}"/>
            </a:ext>
          </a:extLst>
        </xdr:cNvPr>
        <xdr:cNvGrpSpPr/>
      </xdr:nvGrpSpPr>
      <xdr:grpSpPr>
        <a:xfrm>
          <a:off x="8389620" y="106680"/>
          <a:ext cx="1272540" cy="320040"/>
          <a:chOff x="9715500" y="106680"/>
          <a:chExt cx="1272540" cy="320040"/>
        </a:xfrm>
      </xdr:grpSpPr>
      <xdr:sp macro="[0]!GoTaxReport" textlink="">
        <xdr:nvSpPr>
          <xdr:cNvPr id="63" name="Rectangle: Rounded Corners 62">
            <a:extLst>
              <a:ext uri="{FF2B5EF4-FFF2-40B4-BE49-F238E27FC236}">
                <a16:creationId xmlns:a16="http://schemas.microsoft.com/office/drawing/2014/main" id="{00000000-0008-0000-0300-00003F000000}"/>
              </a:ext>
            </a:extLst>
          </xdr:cNvPr>
          <xdr:cNvSpPr/>
        </xdr:nvSpPr>
        <xdr:spPr>
          <a:xfrm>
            <a:off x="979932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Tax Report</a:t>
            </a:r>
          </a:p>
        </xdr:txBody>
      </xdr:sp>
      <xdr:pic>
        <xdr:nvPicPr>
          <xdr:cNvPr id="64" name="Graphic 63" descr="Document with solid fill">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715500" y="114300"/>
            <a:ext cx="266400" cy="266400"/>
          </a:xfrm>
          <a:prstGeom prst="rect">
            <a:avLst/>
          </a:prstGeom>
        </xdr:spPr>
      </xdr:pic>
    </xdr:grpSp>
    <xdr:clientData/>
  </xdr:twoCellAnchor>
  <xdr:twoCellAnchor editAs="oneCell">
    <xdr:from>
      <xdr:col>2</xdr:col>
      <xdr:colOff>15240</xdr:colOff>
      <xdr:row>0</xdr:row>
      <xdr:rowOff>106680</xdr:rowOff>
    </xdr:from>
    <xdr:to>
      <xdr:col>2</xdr:col>
      <xdr:colOff>1333500</xdr:colOff>
      <xdr:row>0</xdr:row>
      <xdr:rowOff>426720</xdr:rowOff>
    </xdr:to>
    <xdr:grpSp>
      <xdr:nvGrpSpPr>
        <xdr:cNvPr id="65" name="Group 64">
          <a:extLst>
            <a:ext uri="{FF2B5EF4-FFF2-40B4-BE49-F238E27FC236}">
              <a16:creationId xmlns:a16="http://schemas.microsoft.com/office/drawing/2014/main" id="{00000000-0008-0000-0300-000041000000}"/>
            </a:ext>
          </a:extLst>
        </xdr:cNvPr>
        <xdr:cNvGrpSpPr/>
      </xdr:nvGrpSpPr>
      <xdr:grpSpPr>
        <a:xfrm>
          <a:off x="3390900" y="106680"/>
          <a:ext cx="1318260" cy="320040"/>
          <a:chOff x="4160520" y="106680"/>
          <a:chExt cx="1318260" cy="320040"/>
        </a:xfrm>
      </xdr:grpSpPr>
      <xdr:sp macro="[0]!GoDashboard" textlink="">
        <xdr:nvSpPr>
          <xdr:cNvPr id="66" name="Rectangle: Rounded Corners 65">
            <a:extLst>
              <a:ext uri="{FF2B5EF4-FFF2-40B4-BE49-F238E27FC236}">
                <a16:creationId xmlns:a16="http://schemas.microsoft.com/office/drawing/2014/main" id="{00000000-0008-0000-0300-000042000000}"/>
              </a:ext>
            </a:extLst>
          </xdr:cNvPr>
          <xdr:cNvSpPr/>
        </xdr:nvSpPr>
        <xdr:spPr>
          <a:xfrm>
            <a:off x="429006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Dashboard</a:t>
            </a:r>
          </a:p>
        </xdr:txBody>
      </xdr:sp>
      <xdr:pic>
        <xdr:nvPicPr>
          <xdr:cNvPr id="67" name="Graphic 66" descr="Presentation with bar chart with solid fill">
            <a:extLst>
              <a:ext uri="{FF2B5EF4-FFF2-40B4-BE49-F238E27FC236}">
                <a16:creationId xmlns:a16="http://schemas.microsoft.com/office/drawing/2014/main" id="{00000000-0008-0000-0300-00004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60520" y="129540"/>
            <a:ext cx="266400" cy="266400"/>
          </a:xfrm>
          <a:prstGeom prst="rect">
            <a:avLst/>
          </a:prstGeom>
        </xdr:spPr>
      </xdr:pic>
    </xdr:grpSp>
    <xdr:clientData/>
  </xdr:twoCellAnchor>
  <xdr:twoCellAnchor>
    <xdr:from>
      <xdr:col>2</xdr:col>
      <xdr:colOff>1554480</xdr:colOff>
      <xdr:row>0</xdr:row>
      <xdr:rowOff>106680</xdr:rowOff>
    </xdr:from>
    <xdr:to>
      <xdr:col>2</xdr:col>
      <xdr:colOff>2743200</xdr:colOff>
      <xdr:row>0</xdr:row>
      <xdr:rowOff>426720</xdr:rowOff>
    </xdr:to>
    <xdr:grpSp>
      <xdr:nvGrpSpPr>
        <xdr:cNvPr id="77" name="Group 76">
          <a:extLst>
            <a:ext uri="{FF2B5EF4-FFF2-40B4-BE49-F238E27FC236}">
              <a16:creationId xmlns:a16="http://schemas.microsoft.com/office/drawing/2014/main" id="{00000000-0008-0000-0300-00004D000000}"/>
            </a:ext>
          </a:extLst>
        </xdr:cNvPr>
        <xdr:cNvGrpSpPr/>
      </xdr:nvGrpSpPr>
      <xdr:grpSpPr>
        <a:xfrm>
          <a:off x="4930140" y="106680"/>
          <a:ext cx="1188720" cy="320040"/>
          <a:chOff x="5204460" y="106680"/>
          <a:chExt cx="1188720" cy="320040"/>
        </a:xfrm>
      </xdr:grpSpPr>
      <xdr:sp macro="[0]!GoCategories" textlink="">
        <xdr:nvSpPr>
          <xdr:cNvPr id="69" name="Rectangle: Rounded Corners 68">
            <a:extLst>
              <a:ext uri="{FF2B5EF4-FFF2-40B4-BE49-F238E27FC236}">
                <a16:creationId xmlns:a16="http://schemas.microsoft.com/office/drawing/2014/main" id="{00000000-0008-0000-0300-000045000000}"/>
              </a:ext>
            </a:extLst>
          </xdr:cNvPr>
          <xdr:cNvSpPr/>
        </xdr:nvSpPr>
        <xdr:spPr>
          <a:xfrm>
            <a:off x="5204460" y="106680"/>
            <a:ext cx="1188720" cy="320040"/>
          </a:xfrm>
          <a:prstGeom prst="roundRect">
            <a:avLst>
              <a:gd name="adj" fmla="val 5556"/>
            </a:avLst>
          </a:prstGeom>
          <a:solidFill>
            <a:schemeClr val="tx2">
              <a:lumMod val="60000"/>
              <a:lumOff val="40000"/>
            </a:schemeClr>
          </a:solidFill>
          <a:ln>
            <a:noFill/>
          </a:ln>
          <a:effectLst>
            <a:innerShdw blurRad="635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lt1"/>
                </a:solidFill>
                <a:latin typeface="Arial" panose="020B0604020202020204" pitchFamily="34" charset="0"/>
                <a:ea typeface="+mn-ea"/>
                <a:cs typeface="Arial" panose="020B0604020202020204" pitchFamily="34" charset="0"/>
              </a:rPr>
              <a:t>Categories</a:t>
            </a:r>
          </a:p>
        </xdr:txBody>
      </xdr:sp>
      <xdr:pic>
        <xdr:nvPicPr>
          <xdr:cNvPr id="70" name="Picture 69">
            <a:extLst>
              <a:ext uri="{FF2B5EF4-FFF2-40B4-BE49-F238E27FC236}">
                <a16:creationId xmlns:a16="http://schemas.microsoft.com/office/drawing/2014/main" id="{00000000-0008-0000-0300-000046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234940" y="175260"/>
            <a:ext cx="162000" cy="162000"/>
          </a:xfrm>
          <a:prstGeom prst="rect">
            <a:avLst/>
          </a:prstGeom>
        </xdr:spPr>
      </xdr:pic>
    </xdr:grpSp>
    <xdr:clientData/>
  </xdr:twoCellAnchor>
  <xdr:twoCellAnchor editAs="oneCell">
    <xdr:from>
      <xdr:col>2</xdr:col>
      <xdr:colOff>3185160</xdr:colOff>
      <xdr:row>0</xdr:row>
      <xdr:rowOff>106680</xdr:rowOff>
    </xdr:from>
    <xdr:to>
      <xdr:col>3</xdr:col>
      <xdr:colOff>1219200</xdr:colOff>
      <xdr:row>0</xdr:row>
      <xdr:rowOff>426720</xdr:rowOff>
    </xdr:to>
    <xdr:grpSp>
      <xdr:nvGrpSpPr>
        <xdr:cNvPr id="71" name="Group 70">
          <a:extLst>
            <a:ext uri="{FF2B5EF4-FFF2-40B4-BE49-F238E27FC236}">
              <a16:creationId xmlns:a16="http://schemas.microsoft.com/office/drawing/2014/main" id="{00000000-0008-0000-0300-000047000000}"/>
            </a:ext>
          </a:extLst>
        </xdr:cNvPr>
        <xdr:cNvGrpSpPr/>
      </xdr:nvGrpSpPr>
      <xdr:grpSpPr>
        <a:xfrm>
          <a:off x="6560820" y="106680"/>
          <a:ext cx="1341120" cy="320040"/>
          <a:chOff x="7757160" y="106680"/>
          <a:chExt cx="1341120" cy="320040"/>
        </a:xfrm>
      </xdr:grpSpPr>
      <xdr:sp macro="[0]!GoTaxSummary" textlink="">
        <xdr:nvSpPr>
          <xdr:cNvPr id="72" name="Rectangle: Rounded Corners 71">
            <a:extLst>
              <a:ext uri="{FF2B5EF4-FFF2-40B4-BE49-F238E27FC236}">
                <a16:creationId xmlns:a16="http://schemas.microsoft.com/office/drawing/2014/main" id="{00000000-0008-0000-0300-000048000000}"/>
              </a:ext>
            </a:extLst>
          </xdr:cNvPr>
          <xdr:cNvSpPr/>
        </xdr:nvSpPr>
        <xdr:spPr>
          <a:xfrm>
            <a:off x="790956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Tax Summary</a:t>
            </a:r>
          </a:p>
        </xdr:txBody>
      </xdr:sp>
      <xdr:pic>
        <xdr:nvPicPr>
          <xdr:cNvPr id="73" name="Graphic 72" descr="Tax with solid fill">
            <a:extLst>
              <a:ext uri="{FF2B5EF4-FFF2-40B4-BE49-F238E27FC236}">
                <a16:creationId xmlns:a16="http://schemas.microsoft.com/office/drawing/2014/main" id="{00000000-0008-0000-0300-00004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7757160" y="129540"/>
            <a:ext cx="266400" cy="26640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541020</xdr:colOff>
      <xdr:row>0</xdr:row>
      <xdr:rowOff>91440</xdr:rowOff>
    </xdr:from>
    <xdr:to>
      <xdr:col>2</xdr:col>
      <xdr:colOff>335280</xdr:colOff>
      <xdr:row>0</xdr:row>
      <xdr:rowOff>411480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541020" y="91440"/>
          <a:ext cx="1188720" cy="320040"/>
          <a:chOff x="662940" y="91440"/>
          <a:chExt cx="1188720" cy="320040"/>
        </a:xfrm>
      </xdr:grpSpPr>
      <xdr:sp macro="[0]!GoHome" textlink="">
        <xdr:nvSpPr>
          <xdr:cNvPr id="3" name="Rectangle: Rounded Corners 2">
            <a:extLst>
              <a:ext uri="{FF2B5EF4-FFF2-40B4-BE49-F238E27FC236}">
                <a16:creationId xmlns:a16="http://schemas.microsoft.com/office/drawing/2014/main" id="{00000000-0008-0000-0400-000003000000}"/>
              </a:ext>
            </a:extLst>
          </xdr:cNvPr>
          <xdr:cNvSpPr/>
        </xdr:nvSpPr>
        <xdr:spPr>
          <a:xfrm>
            <a:off x="662940" y="9144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Home</a:t>
            </a:r>
          </a:p>
        </xdr:txBody>
      </xdr:sp>
      <xdr:pic>
        <xdr:nvPicPr>
          <xdr:cNvPr id="4" name="Graphic 3" descr="Home with solid fill">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9140" y="91440"/>
            <a:ext cx="266700" cy="266700"/>
          </a:xfrm>
          <a:prstGeom prst="rect">
            <a:avLst/>
          </a:prstGeom>
        </xdr:spPr>
      </xdr:pic>
    </xdr:grpSp>
    <xdr:clientData/>
  </xdr:twoCellAnchor>
  <xdr:twoCellAnchor>
    <xdr:from>
      <xdr:col>2</xdr:col>
      <xdr:colOff>655320</xdr:colOff>
      <xdr:row>0</xdr:row>
      <xdr:rowOff>106680</xdr:rowOff>
    </xdr:from>
    <xdr:to>
      <xdr:col>2</xdr:col>
      <xdr:colOff>1844040</xdr:colOff>
      <xdr:row>0</xdr:row>
      <xdr:rowOff>426720</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a:off x="2049780" y="106680"/>
          <a:ext cx="1188720" cy="320040"/>
          <a:chOff x="2209800" y="106680"/>
          <a:chExt cx="1188720" cy="320040"/>
        </a:xfrm>
      </xdr:grpSpPr>
      <xdr:sp macro="[0]!GoDataset" textlink="">
        <xdr:nvSpPr>
          <xdr:cNvPr id="6" name="Rectangle: Rounded Corners 5">
            <a:extLst>
              <a:ext uri="{FF2B5EF4-FFF2-40B4-BE49-F238E27FC236}">
                <a16:creationId xmlns:a16="http://schemas.microsoft.com/office/drawing/2014/main" id="{00000000-0008-0000-0400-000006000000}"/>
              </a:ext>
            </a:extLst>
          </xdr:cNvPr>
          <xdr:cNvSpPr/>
        </xdr:nvSpPr>
        <xdr:spPr>
          <a:xfrm>
            <a:off x="2209800" y="106680"/>
            <a:ext cx="1188720" cy="320040"/>
          </a:xfrm>
          <a:prstGeom prst="roundRect">
            <a:avLst>
              <a:gd name="adj" fmla="val 5556"/>
            </a:avLst>
          </a:prstGeom>
          <a:solidFill>
            <a:schemeClr val="tx2">
              <a:lumMod val="60000"/>
              <a:lumOff val="40000"/>
            </a:schemeClr>
          </a:solidFill>
          <a:ln>
            <a:noFill/>
          </a:ln>
          <a:effectLst>
            <a:innerShdw blurRad="635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Dataset</a:t>
            </a:r>
          </a:p>
        </xdr:txBody>
      </xdr:sp>
      <xdr:pic>
        <xdr:nvPicPr>
          <xdr:cNvPr id="7" name="Graphic 6" descr="Database with solid fill">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240280" y="114300"/>
            <a:ext cx="266400" cy="266400"/>
          </a:xfrm>
          <a:prstGeom prst="rect">
            <a:avLst/>
          </a:prstGeom>
        </xdr:spPr>
      </xdr:pic>
    </xdr:grpSp>
    <xdr:clientData/>
  </xdr:twoCellAnchor>
  <xdr:twoCellAnchor editAs="oneCell">
    <xdr:from>
      <xdr:col>9</xdr:col>
      <xdr:colOff>632460</xdr:colOff>
      <xdr:row>0</xdr:row>
      <xdr:rowOff>106680</xdr:rowOff>
    </xdr:from>
    <xdr:to>
      <xdr:col>9</xdr:col>
      <xdr:colOff>1905000</xdr:colOff>
      <xdr:row>0</xdr:row>
      <xdr:rowOff>426720</xdr:rowOff>
    </xdr:to>
    <xdr:grpSp>
      <xdr:nvGrpSpPr>
        <xdr:cNvPr id="8" name="Group 7">
          <a:extLst>
            <a:ext uri="{FF2B5EF4-FFF2-40B4-BE49-F238E27FC236}">
              <a16:creationId xmlns:a16="http://schemas.microsoft.com/office/drawing/2014/main" id="{00000000-0008-0000-0400-000008000000}"/>
            </a:ext>
          </a:extLst>
        </xdr:cNvPr>
        <xdr:cNvGrpSpPr/>
      </xdr:nvGrpSpPr>
      <xdr:grpSpPr>
        <a:xfrm>
          <a:off x="9745980" y="106680"/>
          <a:ext cx="1272540" cy="320040"/>
          <a:chOff x="9715500" y="106680"/>
          <a:chExt cx="1272540" cy="320040"/>
        </a:xfrm>
      </xdr:grpSpPr>
      <xdr:sp macro="[0]!GoTaxReport" textlink="">
        <xdr:nvSpPr>
          <xdr:cNvPr id="9" name="Rectangle: Rounded Corners 8">
            <a:extLst>
              <a:ext uri="{FF2B5EF4-FFF2-40B4-BE49-F238E27FC236}">
                <a16:creationId xmlns:a16="http://schemas.microsoft.com/office/drawing/2014/main" id="{00000000-0008-0000-0400-000009000000}"/>
              </a:ext>
            </a:extLst>
          </xdr:cNvPr>
          <xdr:cNvSpPr/>
        </xdr:nvSpPr>
        <xdr:spPr>
          <a:xfrm>
            <a:off x="979932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Tax Report</a:t>
            </a:r>
          </a:p>
        </xdr:txBody>
      </xdr:sp>
      <xdr:pic>
        <xdr:nvPicPr>
          <xdr:cNvPr id="10" name="Graphic 9" descr="Document with solid fill">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715500" y="114300"/>
            <a:ext cx="266400" cy="266400"/>
          </a:xfrm>
          <a:prstGeom prst="rect">
            <a:avLst/>
          </a:prstGeom>
        </xdr:spPr>
      </xdr:pic>
    </xdr:grpSp>
    <xdr:clientData/>
  </xdr:twoCellAnchor>
  <xdr:twoCellAnchor editAs="oneCell">
    <xdr:from>
      <xdr:col>3</xdr:col>
      <xdr:colOff>563880</xdr:colOff>
      <xdr:row>0</xdr:row>
      <xdr:rowOff>106680</xdr:rowOff>
    </xdr:from>
    <xdr:to>
      <xdr:col>4</xdr:col>
      <xdr:colOff>975360</xdr:colOff>
      <xdr:row>0</xdr:row>
      <xdr:rowOff>426720</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3909060" y="106680"/>
          <a:ext cx="1318260" cy="320040"/>
          <a:chOff x="4160520" y="106680"/>
          <a:chExt cx="1318260" cy="320040"/>
        </a:xfrm>
      </xdr:grpSpPr>
      <xdr:sp macro="[0]!GoDashboard" textlink="">
        <xdr:nvSpPr>
          <xdr:cNvPr id="12" name="Rectangle: Rounded Corners 11">
            <a:extLst>
              <a:ext uri="{FF2B5EF4-FFF2-40B4-BE49-F238E27FC236}">
                <a16:creationId xmlns:a16="http://schemas.microsoft.com/office/drawing/2014/main" id="{00000000-0008-0000-0400-00000C000000}"/>
              </a:ext>
            </a:extLst>
          </xdr:cNvPr>
          <xdr:cNvSpPr/>
        </xdr:nvSpPr>
        <xdr:spPr>
          <a:xfrm>
            <a:off x="429006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Dashboard</a:t>
            </a:r>
          </a:p>
        </xdr:txBody>
      </xdr:sp>
      <xdr:pic>
        <xdr:nvPicPr>
          <xdr:cNvPr id="13" name="Graphic 12" descr="Presentation with bar chart with solid fill">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60520" y="129540"/>
            <a:ext cx="266400" cy="266400"/>
          </a:xfrm>
          <a:prstGeom prst="rect">
            <a:avLst/>
          </a:prstGeom>
        </xdr:spPr>
      </xdr:pic>
    </xdr:grpSp>
    <xdr:clientData/>
  </xdr:twoCellAnchor>
  <xdr:twoCellAnchor editAs="oneCell">
    <xdr:from>
      <xdr:col>5</xdr:col>
      <xdr:colOff>228600</xdr:colOff>
      <xdr:row>0</xdr:row>
      <xdr:rowOff>129540</xdr:rowOff>
    </xdr:from>
    <xdr:to>
      <xdr:col>5</xdr:col>
      <xdr:colOff>1478280</xdr:colOff>
      <xdr:row>0</xdr:row>
      <xdr:rowOff>449580</xdr:rowOff>
    </xdr:to>
    <xdr:grpSp>
      <xdr:nvGrpSpPr>
        <xdr:cNvPr id="14" name="Group 13">
          <a:extLst>
            <a:ext uri="{FF2B5EF4-FFF2-40B4-BE49-F238E27FC236}">
              <a16:creationId xmlns:a16="http://schemas.microsoft.com/office/drawing/2014/main" id="{00000000-0008-0000-0400-00000E000000}"/>
            </a:ext>
          </a:extLst>
        </xdr:cNvPr>
        <xdr:cNvGrpSpPr/>
      </xdr:nvGrpSpPr>
      <xdr:grpSpPr>
        <a:xfrm>
          <a:off x="5753100" y="129540"/>
          <a:ext cx="1249680" cy="320040"/>
          <a:chOff x="6050280" y="106680"/>
          <a:chExt cx="1249680" cy="320040"/>
        </a:xfrm>
      </xdr:grpSpPr>
      <xdr:sp macro="[0]!GoCategories" textlink="">
        <xdr:nvSpPr>
          <xdr:cNvPr id="15" name="Rectangle: Rounded Corners 14">
            <a:extLst>
              <a:ext uri="{FF2B5EF4-FFF2-40B4-BE49-F238E27FC236}">
                <a16:creationId xmlns:a16="http://schemas.microsoft.com/office/drawing/2014/main" id="{00000000-0008-0000-0400-00000F000000}"/>
              </a:ext>
            </a:extLst>
          </xdr:cNvPr>
          <xdr:cNvSpPr/>
        </xdr:nvSpPr>
        <xdr:spPr>
          <a:xfrm>
            <a:off x="611124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Categories</a:t>
            </a:r>
          </a:p>
        </xdr:txBody>
      </xdr:sp>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050280" y="152400"/>
            <a:ext cx="216000" cy="216000"/>
          </a:xfrm>
          <a:prstGeom prst="rect">
            <a:avLst/>
          </a:prstGeom>
        </xdr:spPr>
      </xdr:pic>
    </xdr:grpSp>
    <xdr:clientData/>
  </xdr:twoCellAnchor>
  <xdr:twoCellAnchor editAs="oneCell">
    <xdr:from>
      <xdr:col>7</xdr:col>
      <xdr:colOff>45720</xdr:colOff>
      <xdr:row>0</xdr:row>
      <xdr:rowOff>106680</xdr:rowOff>
    </xdr:from>
    <xdr:to>
      <xdr:col>8</xdr:col>
      <xdr:colOff>647700</xdr:colOff>
      <xdr:row>0</xdr:row>
      <xdr:rowOff>426720</xdr:rowOff>
    </xdr:to>
    <xdr:grpSp>
      <xdr:nvGrpSpPr>
        <xdr:cNvPr id="17" name="Group 16">
          <a:extLst>
            <a:ext uri="{FF2B5EF4-FFF2-40B4-BE49-F238E27FC236}">
              <a16:creationId xmlns:a16="http://schemas.microsoft.com/office/drawing/2014/main" id="{00000000-0008-0000-0400-000011000000}"/>
            </a:ext>
          </a:extLst>
        </xdr:cNvPr>
        <xdr:cNvGrpSpPr/>
      </xdr:nvGrpSpPr>
      <xdr:grpSpPr>
        <a:xfrm>
          <a:off x="7680960" y="106680"/>
          <a:ext cx="1341120" cy="320040"/>
          <a:chOff x="7757160" y="106680"/>
          <a:chExt cx="1341120" cy="320040"/>
        </a:xfrm>
      </xdr:grpSpPr>
      <xdr:sp macro="[0]!GoTaxSummary" textlink="">
        <xdr:nvSpPr>
          <xdr:cNvPr id="18" name="Rectangle: Rounded Corners 17">
            <a:extLst>
              <a:ext uri="{FF2B5EF4-FFF2-40B4-BE49-F238E27FC236}">
                <a16:creationId xmlns:a16="http://schemas.microsoft.com/office/drawing/2014/main" id="{00000000-0008-0000-0400-000012000000}"/>
              </a:ext>
            </a:extLst>
          </xdr:cNvPr>
          <xdr:cNvSpPr/>
        </xdr:nvSpPr>
        <xdr:spPr>
          <a:xfrm>
            <a:off x="790956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Tax Summary</a:t>
            </a:r>
          </a:p>
        </xdr:txBody>
      </xdr:sp>
      <xdr:pic>
        <xdr:nvPicPr>
          <xdr:cNvPr id="19" name="Graphic 18" descr="Tax with solid fill">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7757160" y="129540"/>
            <a:ext cx="266400" cy="26640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632460</xdr:colOff>
      <xdr:row>6</xdr:row>
      <xdr:rowOff>167640</xdr:rowOff>
    </xdr:from>
    <xdr:to>
      <xdr:col>9</xdr:col>
      <xdr:colOff>167640</xdr:colOff>
      <xdr:row>8</xdr:row>
      <xdr:rowOff>38100</xdr:rowOff>
    </xdr:to>
    <xdr:sp macro="" textlink="">
      <xdr:nvSpPr>
        <xdr:cNvPr id="34" name="Rectangle 33">
          <a:extLst>
            <a:ext uri="{FF2B5EF4-FFF2-40B4-BE49-F238E27FC236}">
              <a16:creationId xmlns:a16="http://schemas.microsoft.com/office/drawing/2014/main" id="{00000000-0008-0000-0500-000022000000}"/>
            </a:ext>
          </a:extLst>
        </xdr:cNvPr>
        <xdr:cNvSpPr/>
      </xdr:nvSpPr>
      <xdr:spPr>
        <a:xfrm>
          <a:off x="7254240" y="1249680"/>
          <a:ext cx="5539740" cy="236220"/>
        </a:xfrm>
        <a:prstGeom prst="rect">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chemeClr val="bg1"/>
              </a:solidFill>
              <a:latin typeface="Aptos" panose="020B0004020202020204" pitchFamily="34" charset="0"/>
              <a:ea typeface="Calibri"/>
              <a:cs typeface="Aharoni" panose="02010803020104030203" pitchFamily="2" charset="-79"/>
            </a:rPr>
            <a:t>Expenses</a:t>
          </a:r>
          <a:r>
            <a:rPr lang="en-US" sz="1400" b="1" i="0" u="none" strike="noStrike" baseline="0">
              <a:solidFill>
                <a:schemeClr val="bg1"/>
              </a:solidFill>
              <a:latin typeface="Aptos" panose="020B0004020202020204" pitchFamily="34" charset="0"/>
              <a:ea typeface="Calibri"/>
              <a:cs typeface="Aharoni" panose="02010803020104030203" pitchFamily="2" charset="-79"/>
            </a:rPr>
            <a:t> By Recipient</a:t>
          </a:r>
          <a:endParaRPr lang="en-US" sz="1400" b="1" i="0" u="none" strike="noStrike">
            <a:solidFill>
              <a:schemeClr val="bg1"/>
            </a:solidFill>
            <a:latin typeface="Aptos" panose="020B0004020202020204" pitchFamily="34" charset="0"/>
            <a:ea typeface="Calibri"/>
            <a:cs typeface="Aharoni" panose="02010803020104030203" pitchFamily="2" charset="-79"/>
          </a:endParaRPr>
        </a:p>
      </xdr:txBody>
    </xdr:sp>
    <xdr:clientData/>
  </xdr:twoCellAnchor>
  <xdr:twoCellAnchor>
    <xdr:from>
      <xdr:col>9</xdr:col>
      <xdr:colOff>304800</xdr:colOff>
      <xdr:row>6</xdr:row>
      <xdr:rowOff>137160</xdr:rowOff>
    </xdr:from>
    <xdr:to>
      <xdr:col>11</xdr:col>
      <xdr:colOff>312420</xdr:colOff>
      <xdr:row>8</xdr:row>
      <xdr:rowOff>91440</xdr:rowOff>
    </xdr:to>
    <xdr:sp macro="[0]!Top5_Click" textlink="">
      <xdr:nvSpPr>
        <xdr:cNvPr id="35" name="TopFiveButton">
          <a:extLst>
            <a:ext uri="{FF2B5EF4-FFF2-40B4-BE49-F238E27FC236}">
              <a16:creationId xmlns:a16="http://schemas.microsoft.com/office/drawing/2014/main" id="{00000000-0008-0000-0500-000023000000}"/>
            </a:ext>
          </a:extLst>
        </xdr:cNvPr>
        <xdr:cNvSpPr/>
      </xdr:nvSpPr>
      <xdr:spPr>
        <a:xfrm>
          <a:off x="12931140" y="1219200"/>
          <a:ext cx="1226820" cy="320040"/>
        </a:xfrm>
        <a:prstGeom prst="roundRect">
          <a:avLst/>
        </a:prstGeom>
        <a:solidFill>
          <a:srgbClr val="B3D9FF"/>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Aptos  "/>
            </a:rPr>
            <a:t>Top Five</a:t>
          </a:r>
        </a:p>
      </xdr:txBody>
    </xdr:sp>
    <xdr:clientData/>
  </xdr:twoCellAnchor>
  <xdr:twoCellAnchor>
    <xdr:from>
      <xdr:col>9</xdr:col>
      <xdr:colOff>304800</xdr:colOff>
      <xdr:row>8</xdr:row>
      <xdr:rowOff>160020</xdr:rowOff>
    </xdr:from>
    <xdr:to>
      <xdr:col>11</xdr:col>
      <xdr:colOff>312420</xdr:colOff>
      <xdr:row>10</xdr:row>
      <xdr:rowOff>114300</xdr:rowOff>
    </xdr:to>
    <xdr:sp macro="[0]!Bottom5_Click" textlink="">
      <xdr:nvSpPr>
        <xdr:cNvPr id="36" name="BottomFiveButton">
          <a:extLst>
            <a:ext uri="{FF2B5EF4-FFF2-40B4-BE49-F238E27FC236}">
              <a16:creationId xmlns:a16="http://schemas.microsoft.com/office/drawing/2014/main" id="{00000000-0008-0000-0500-000024000000}"/>
            </a:ext>
          </a:extLst>
        </xdr:cNvPr>
        <xdr:cNvSpPr/>
      </xdr:nvSpPr>
      <xdr:spPr>
        <a:xfrm>
          <a:off x="12931140" y="1607820"/>
          <a:ext cx="1226820" cy="320040"/>
        </a:xfrm>
        <a:prstGeom prst="roundRect">
          <a:avLst/>
        </a:prstGeom>
        <a:solidFill>
          <a:srgbClr val="305496"/>
        </a:solidFill>
        <a:ln>
          <a:solidFill>
            <a:schemeClr val="bg1"/>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Aptos  "/>
            </a:rPr>
            <a:t>Bottom Five</a:t>
          </a:r>
        </a:p>
      </xdr:txBody>
    </xdr:sp>
    <xdr:clientData/>
  </xdr:twoCellAnchor>
  <xdr:twoCellAnchor>
    <xdr:from>
      <xdr:col>1</xdr:col>
      <xdr:colOff>0</xdr:colOff>
      <xdr:row>25</xdr:row>
      <xdr:rowOff>89654</xdr:rowOff>
    </xdr:from>
    <xdr:to>
      <xdr:col>6</xdr:col>
      <xdr:colOff>956966</xdr:colOff>
      <xdr:row>41</xdr:row>
      <xdr:rowOff>150534</xdr:rowOff>
    </xdr:to>
    <xdr:grpSp>
      <xdr:nvGrpSpPr>
        <xdr:cNvPr id="12" name="Group 11">
          <a:extLst>
            <a:ext uri="{FF2B5EF4-FFF2-40B4-BE49-F238E27FC236}">
              <a16:creationId xmlns:a16="http://schemas.microsoft.com/office/drawing/2014/main" id="{00000000-0008-0000-0500-00000C000000}"/>
            </a:ext>
          </a:extLst>
        </xdr:cNvPr>
        <xdr:cNvGrpSpPr/>
      </xdr:nvGrpSpPr>
      <xdr:grpSpPr>
        <a:xfrm>
          <a:off x="606490" y="5244817"/>
          <a:ext cx="9027945" cy="3046676"/>
          <a:chOff x="606490" y="4731634"/>
          <a:chExt cx="9027945" cy="3046676"/>
        </a:xfrm>
      </xdr:grpSpPr>
      <xdr:graphicFrame macro="">
        <xdr:nvGraphicFramePr>
          <xdr:cNvPr id="38" name="Chart 37">
            <a:extLst>
              <a:ext uri="{FF2B5EF4-FFF2-40B4-BE49-F238E27FC236}">
                <a16:creationId xmlns:a16="http://schemas.microsoft.com/office/drawing/2014/main" id="{00000000-0008-0000-0500-000026000000}"/>
              </a:ext>
            </a:extLst>
          </xdr:cNvPr>
          <xdr:cNvGraphicFramePr>
            <a:graphicFrameLocks/>
          </xdr:cNvGraphicFramePr>
        </xdr:nvGraphicFramePr>
        <xdr:xfrm>
          <a:off x="606490" y="4971451"/>
          <a:ext cx="9021246" cy="2806859"/>
        </xdr:xfrm>
        <a:graphic>
          <a:graphicData uri="http://schemas.openxmlformats.org/drawingml/2006/chart">
            <c:chart xmlns:c="http://schemas.openxmlformats.org/drawingml/2006/chart" xmlns:r="http://schemas.openxmlformats.org/officeDocument/2006/relationships" r:id="rId1"/>
          </a:graphicData>
        </a:graphic>
      </xdr:graphicFrame>
      <xdr:sp macro="" textlink="'Pivot Tables'!$AD$3">
        <xdr:nvSpPr>
          <xdr:cNvPr id="39" name="Rectangle 38">
            <a:extLst>
              <a:ext uri="{FF2B5EF4-FFF2-40B4-BE49-F238E27FC236}">
                <a16:creationId xmlns:a16="http://schemas.microsoft.com/office/drawing/2014/main" id="{00000000-0008-0000-0500-000027000000}"/>
              </a:ext>
            </a:extLst>
          </xdr:cNvPr>
          <xdr:cNvSpPr/>
        </xdr:nvSpPr>
        <xdr:spPr>
          <a:xfrm>
            <a:off x="606491" y="4731634"/>
            <a:ext cx="9027944" cy="238200"/>
          </a:xfrm>
          <a:prstGeom prst="rect">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DEAEF8A-12BC-4E76-80A2-F56D35536051}" type="TxLink">
              <a:rPr lang="en-US" sz="1200" b="1" i="0" u="none" strike="noStrike">
                <a:solidFill>
                  <a:schemeClr val="bg1"/>
                </a:solidFill>
                <a:latin typeface="Aptos" panose="020B0004020202020204" pitchFamily="34" charset="0"/>
                <a:ea typeface="Calibri"/>
                <a:cs typeface="Calibri"/>
              </a:rPr>
              <a:pPr algn="ctr"/>
              <a:t>Entertainment Expenses By Month</a:t>
            </a:fld>
            <a:endParaRPr lang="en-US" sz="1200" b="1" i="0" u="none" strike="noStrike">
              <a:solidFill>
                <a:schemeClr val="bg1"/>
              </a:solidFill>
              <a:latin typeface="Aptos" panose="020B0004020202020204" pitchFamily="34" charset="0"/>
              <a:ea typeface="Calibri"/>
              <a:cs typeface="Aharoni" panose="02010803020104030203" pitchFamily="2" charset="-79"/>
            </a:endParaRPr>
          </a:p>
        </xdr:txBody>
      </xdr:sp>
    </xdr:grpSp>
    <xdr:clientData/>
  </xdr:twoCellAnchor>
  <xdr:twoCellAnchor editAs="absolute">
    <xdr:from>
      <xdr:col>2</xdr:col>
      <xdr:colOff>4030980</xdr:colOff>
      <xdr:row>5</xdr:row>
      <xdr:rowOff>53340</xdr:rowOff>
    </xdr:from>
    <xdr:to>
      <xdr:col>4</xdr:col>
      <xdr:colOff>411480</xdr:colOff>
      <xdr:row>25</xdr:row>
      <xdr:rowOff>0</xdr:rowOff>
    </xdr:to>
    <mc:AlternateContent xmlns:mc="http://schemas.openxmlformats.org/markup-compatibility/2006" xmlns:a14="http://schemas.microsoft.com/office/drawing/2010/main">
      <mc:Choice Requires="a14">
        <xdr:graphicFrame macro="">
          <xdr:nvGraphicFramePr>
            <xdr:cNvPr id="2" name="Month 1">
              <a:extLst>
                <a:ext uri="{FF2B5EF4-FFF2-40B4-BE49-F238E27FC236}">
                  <a16:creationId xmlns:a16="http://schemas.microsoft.com/office/drawing/2014/main" id="{00000000-0008-0000-05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5842674" y="1476258"/>
              <a:ext cx="1185765" cy="3678905"/>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583164</xdr:colOff>
      <xdr:row>7</xdr:row>
      <xdr:rowOff>35458</xdr:rowOff>
    </xdr:from>
    <xdr:to>
      <xdr:col>2</xdr:col>
      <xdr:colOff>3878114</xdr:colOff>
      <xdr:row>8</xdr:row>
      <xdr:rowOff>89925</xdr:rowOff>
    </xdr:to>
    <xdr:sp macro="" textlink="'Pivot Tables'!$W$3" fLocksText="0">
      <xdr:nvSpPr>
        <xdr:cNvPr id="30" name="Rectangle 29">
          <a:extLst>
            <a:ext uri="{FF2B5EF4-FFF2-40B4-BE49-F238E27FC236}">
              <a16:creationId xmlns:a16="http://schemas.microsoft.com/office/drawing/2014/main" id="{00000000-0008-0000-0500-00001E000000}"/>
            </a:ext>
          </a:extLst>
        </xdr:cNvPr>
        <xdr:cNvSpPr/>
      </xdr:nvSpPr>
      <xdr:spPr>
        <a:xfrm>
          <a:off x="583164" y="1831601"/>
          <a:ext cx="5106644" cy="241079"/>
        </a:xfrm>
        <a:prstGeom prst="rect">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AC39E74-0390-4276-BEDD-4105D4C7014B}" type="TxLink">
            <a:rPr lang="en-US" sz="1200" b="1" i="0" u="none" strike="noStrike">
              <a:solidFill>
                <a:schemeClr val="bg1"/>
              </a:solidFill>
              <a:latin typeface="Aptos" panose="020B0004020202020204" pitchFamily="34" charset="0"/>
              <a:ea typeface="Calibri"/>
              <a:cs typeface="Calibri"/>
            </a:rPr>
            <a:pPr algn="ctr"/>
            <a:t>January Expenses By Category</a:t>
          </a:fld>
          <a:endParaRPr lang="en-US" sz="1200" b="1">
            <a:solidFill>
              <a:schemeClr val="bg1"/>
            </a:solidFill>
            <a:latin typeface="Aptos" panose="020B0004020202020204" pitchFamily="34" charset="0"/>
            <a:cs typeface="Aharoni" panose="02010803020104030203" pitchFamily="2" charset="-79"/>
          </a:endParaRPr>
        </a:p>
      </xdr:txBody>
    </xdr:sp>
    <xdr:clientData fLocksWithSheet="0"/>
  </xdr:twoCellAnchor>
  <xdr:twoCellAnchor>
    <xdr:from>
      <xdr:col>0</xdr:col>
      <xdr:colOff>575388</xdr:colOff>
      <xdr:row>8</xdr:row>
      <xdr:rowOff>97700</xdr:rowOff>
    </xdr:from>
    <xdr:to>
      <xdr:col>2</xdr:col>
      <xdr:colOff>3862716</xdr:colOff>
      <xdr:row>23</xdr:row>
      <xdr:rowOff>20373</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586274</xdr:colOff>
      <xdr:row>6</xdr:row>
      <xdr:rowOff>152089</xdr:rowOff>
    </xdr:from>
    <xdr:to>
      <xdr:col>9</xdr:col>
      <xdr:colOff>136694</xdr:colOff>
      <xdr:row>22</xdr:row>
      <xdr:rowOff>83509</xdr:rowOff>
    </xdr:to>
    <xdr:grpSp>
      <xdr:nvGrpSpPr>
        <xdr:cNvPr id="11" name="Group 10">
          <a:extLst>
            <a:ext uri="{FF2B5EF4-FFF2-40B4-BE49-F238E27FC236}">
              <a16:creationId xmlns:a16="http://schemas.microsoft.com/office/drawing/2014/main" id="{00000000-0008-0000-0500-00000B000000}"/>
            </a:ext>
          </a:extLst>
        </xdr:cNvPr>
        <xdr:cNvGrpSpPr/>
      </xdr:nvGrpSpPr>
      <xdr:grpSpPr>
        <a:xfrm>
          <a:off x="7203233" y="1761620"/>
          <a:ext cx="5109910" cy="2917216"/>
          <a:chOff x="7231380" y="1249680"/>
          <a:chExt cx="5554980" cy="2857500"/>
        </a:xfrm>
      </xdr:grpSpPr>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7231380" y="1485901"/>
          <a:ext cx="5554980" cy="2621279"/>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7" name="Rectangle 6">
            <a:extLst>
              <a:ext uri="{FF2B5EF4-FFF2-40B4-BE49-F238E27FC236}">
                <a16:creationId xmlns:a16="http://schemas.microsoft.com/office/drawing/2014/main" id="{00000000-0008-0000-0500-000007000000}"/>
              </a:ext>
            </a:extLst>
          </xdr:cNvPr>
          <xdr:cNvSpPr/>
        </xdr:nvSpPr>
        <xdr:spPr>
          <a:xfrm>
            <a:off x="7231380" y="1249680"/>
            <a:ext cx="5539740" cy="236220"/>
          </a:xfrm>
          <a:prstGeom prst="rect">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chemeClr val="bg1"/>
                </a:solidFill>
                <a:latin typeface="Aptos" panose="020B0004020202020204" pitchFamily="34" charset="0"/>
                <a:ea typeface="Calibri"/>
                <a:cs typeface="Aharoni" panose="02010803020104030203" pitchFamily="2" charset="-79"/>
              </a:rPr>
              <a:t>Expenses</a:t>
            </a:r>
            <a:r>
              <a:rPr lang="en-US" sz="1400" b="1" i="0" u="none" strike="noStrike" baseline="0">
                <a:solidFill>
                  <a:schemeClr val="bg1"/>
                </a:solidFill>
                <a:latin typeface="Aptos" panose="020B0004020202020204" pitchFamily="34" charset="0"/>
                <a:ea typeface="Calibri"/>
                <a:cs typeface="Aharoni" panose="02010803020104030203" pitchFamily="2" charset="-79"/>
              </a:rPr>
              <a:t> By Recipient</a:t>
            </a:r>
            <a:endParaRPr lang="en-US" sz="1400" b="1" i="0" u="none" strike="noStrike">
              <a:solidFill>
                <a:schemeClr val="bg1"/>
              </a:solidFill>
              <a:latin typeface="Aptos" panose="020B0004020202020204" pitchFamily="34" charset="0"/>
              <a:ea typeface="Calibri"/>
              <a:cs typeface="Aharoni" panose="02010803020104030203" pitchFamily="2" charset="-79"/>
            </a:endParaRPr>
          </a:p>
        </xdr:txBody>
      </xdr:sp>
    </xdr:grpSp>
    <xdr:clientData/>
  </xdr:twoCellAnchor>
  <xdr:twoCellAnchor editAs="absolute">
    <xdr:from>
      <xdr:col>6</xdr:col>
      <xdr:colOff>1247191</xdr:colOff>
      <xdr:row>23</xdr:row>
      <xdr:rowOff>167796</xdr:rowOff>
    </xdr:from>
    <xdr:to>
      <xdr:col>8</xdr:col>
      <xdr:colOff>378511</xdr:colOff>
      <xdr:row>40</xdr:row>
      <xdr:rowOff>144936</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00000000-0008-0000-05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924660" y="4949735"/>
              <a:ext cx="1285137" cy="3149548"/>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0</xdr:colOff>
      <xdr:row>45</xdr:row>
      <xdr:rowOff>38100</xdr:rowOff>
    </xdr:from>
    <xdr:to>
      <xdr:col>6</xdr:col>
      <xdr:colOff>952500</xdr:colOff>
      <xdr:row>60</xdr:row>
      <xdr:rowOff>38100</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09600" y="8763000"/>
              <a:ext cx="90297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xdr:colOff>
      <xdr:row>43</xdr:row>
      <xdr:rowOff>179286</xdr:rowOff>
    </xdr:from>
    <xdr:to>
      <xdr:col>6</xdr:col>
      <xdr:colOff>956979</xdr:colOff>
      <xdr:row>45</xdr:row>
      <xdr:rowOff>50677</xdr:rowOff>
    </xdr:to>
    <xdr:sp macro="" textlink="'Pivot Tables'!$AL$3" fLocksText="0">
      <xdr:nvSpPr>
        <xdr:cNvPr id="41" name="Rectangle 40">
          <a:extLst>
            <a:ext uri="{FF2B5EF4-FFF2-40B4-BE49-F238E27FC236}">
              <a16:creationId xmlns:a16="http://schemas.microsoft.com/office/drawing/2014/main" id="{00000000-0008-0000-0500-000029000000}"/>
            </a:ext>
          </a:extLst>
        </xdr:cNvPr>
        <xdr:cNvSpPr/>
      </xdr:nvSpPr>
      <xdr:spPr>
        <a:xfrm>
          <a:off x="606503" y="8693470"/>
          <a:ext cx="9027945" cy="244615"/>
        </a:xfrm>
        <a:prstGeom prst="rect">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6515AAF-17E8-4CA9-8256-1C7E656C95AB}" type="TxLink">
            <a:rPr lang="en-US" sz="1200" b="1" i="0" u="none" strike="noStrike">
              <a:solidFill>
                <a:schemeClr val="bg1"/>
              </a:solidFill>
              <a:latin typeface="Aptos" panose="020B0004020202020204" pitchFamily="34" charset="0"/>
              <a:ea typeface="Calibri"/>
              <a:cs typeface="Calibri"/>
            </a:rPr>
            <a:pPr algn="ctr"/>
            <a:t>Entertainment Expenses By Subcategory</a:t>
          </a:fld>
          <a:endParaRPr lang="en-US" sz="1200" b="1" i="0" u="none" strike="noStrike">
            <a:solidFill>
              <a:schemeClr val="bg1"/>
            </a:solidFill>
            <a:latin typeface="Aptos" panose="020B0004020202020204" pitchFamily="34" charset="0"/>
            <a:ea typeface="Calibri"/>
            <a:cs typeface="Calibri"/>
          </a:endParaRPr>
        </a:p>
      </xdr:txBody>
    </xdr:sp>
    <xdr:clientData/>
  </xdr:twoCellAnchor>
  <xdr:twoCellAnchor>
    <xdr:from>
      <xdr:col>1</xdr:col>
      <xdr:colOff>0</xdr:colOff>
      <xdr:row>45</xdr:row>
      <xdr:rowOff>38100</xdr:rowOff>
    </xdr:from>
    <xdr:to>
      <xdr:col>6</xdr:col>
      <xdr:colOff>952053</xdr:colOff>
      <xdr:row>61</xdr:row>
      <xdr:rowOff>129839</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9600" y="8763000"/>
              <a:ext cx="9029253" cy="301781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oneCell">
        <xdr:from>
          <xdr:col>5</xdr:col>
          <xdr:colOff>220980</xdr:colOff>
          <xdr:row>42</xdr:row>
          <xdr:rowOff>129540</xdr:rowOff>
        </xdr:from>
        <xdr:to>
          <xdr:col>6</xdr:col>
          <xdr:colOff>967740</xdr:colOff>
          <xdr:row>43</xdr:row>
          <xdr:rowOff>152400</xdr:rowOff>
        </xdr:to>
        <xdr:sp macro="" textlink="">
          <xdr:nvSpPr>
            <xdr:cNvPr id="8193" name="ComboBox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304800</xdr:colOff>
      <xdr:row>2</xdr:row>
      <xdr:rowOff>82732</xdr:rowOff>
    </xdr:from>
    <xdr:to>
      <xdr:col>11</xdr:col>
      <xdr:colOff>312420</xdr:colOff>
      <xdr:row>3</xdr:row>
      <xdr:rowOff>223624</xdr:rowOff>
    </xdr:to>
    <xdr:sp macro="[0]!ShowDetails_Click" textlink="">
      <xdr:nvSpPr>
        <xdr:cNvPr id="10" name="TopFiveButton">
          <a:extLst>
            <a:ext uri="{FF2B5EF4-FFF2-40B4-BE49-F238E27FC236}">
              <a16:creationId xmlns:a16="http://schemas.microsoft.com/office/drawing/2014/main" id="{00000000-0008-0000-0500-00000A000000}"/>
            </a:ext>
          </a:extLst>
        </xdr:cNvPr>
        <xdr:cNvSpPr/>
      </xdr:nvSpPr>
      <xdr:spPr>
        <a:xfrm>
          <a:off x="12481249" y="269344"/>
          <a:ext cx="1220600" cy="327504"/>
        </a:xfrm>
        <a:prstGeom prst="roundRect">
          <a:avLst/>
        </a:prstGeom>
        <a:solidFill>
          <a:schemeClr val="bg1"/>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Aptos  "/>
            </a:rPr>
            <a:t>Show</a:t>
          </a:r>
          <a:r>
            <a:rPr lang="en-US" sz="1200" b="1" baseline="0">
              <a:solidFill>
                <a:sysClr val="windowText" lastClr="000000"/>
              </a:solidFill>
              <a:latin typeface="Aptos  "/>
            </a:rPr>
            <a:t> Helper</a:t>
          </a:r>
          <a:endParaRPr lang="en-US" sz="1200" b="1">
            <a:solidFill>
              <a:sysClr val="windowText" lastClr="000000"/>
            </a:solidFill>
            <a:latin typeface="Aptos  "/>
          </a:endParaRPr>
        </a:p>
      </xdr:txBody>
    </xdr:sp>
    <xdr:clientData/>
  </xdr:twoCellAnchor>
  <xdr:twoCellAnchor editAs="oneCell">
    <xdr:from>
      <xdr:col>1</xdr:col>
      <xdr:colOff>99060</xdr:colOff>
      <xdr:row>0</xdr:row>
      <xdr:rowOff>91440</xdr:rowOff>
    </xdr:from>
    <xdr:to>
      <xdr:col>2</xdr:col>
      <xdr:colOff>83820</xdr:colOff>
      <xdr:row>0</xdr:row>
      <xdr:rowOff>411480</xdr:rowOff>
    </xdr:to>
    <xdr:grpSp>
      <xdr:nvGrpSpPr>
        <xdr:cNvPr id="14" name="Group 13">
          <a:extLst>
            <a:ext uri="{FF2B5EF4-FFF2-40B4-BE49-F238E27FC236}">
              <a16:creationId xmlns:a16="http://schemas.microsoft.com/office/drawing/2014/main" id="{00000000-0008-0000-0500-00000E000000}"/>
            </a:ext>
          </a:extLst>
        </xdr:cNvPr>
        <xdr:cNvGrpSpPr/>
      </xdr:nvGrpSpPr>
      <xdr:grpSpPr>
        <a:xfrm>
          <a:off x="705550" y="91440"/>
          <a:ext cx="1189964" cy="320040"/>
          <a:chOff x="662940" y="91440"/>
          <a:chExt cx="1188720" cy="320040"/>
        </a:xfrm>
      </xdr:grpSpPr>
      <xdr:sp macro="[0]!GoHome" textlink="">
        <xdr:nvSpPr>
          <xdr:cNvPr id="15" name="Rectangle: Rounded Corners 14">
            <a:extLst>
              <a:ext uri="{FF2B5EF4-FFF2-40B4-BE49-F238E27FC236}">
                <a16:creationId xmlns:a16="http://schemas.microsoft.com/office/drawing/2014/main" id="{00000000-0008-0000-0500-00000F000000}"/>
              </a:ext>
            </a:extLst>
          </xdr:cNvPr>
          <xdr:cNvSpPr/>
        </xdr:nvSpPr>
        <xdr:spPr>
          <a:xfrm>
            <a:off x="662940" y="9144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Home</a:t>
            </a:r>
          </a:p>
        </xdr:txBody>
      </xdr:sp>
      <xdr:pic>
        <xdr:nvPicPr>
          <xdr:cNvPr id="16" name="Graphic 15" descr="Home with solid fill">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39140" y="91440"/>
            <a:ext cx="266700" cy="266700"/>
          </a:xfrm>
          <a:prstGeom prst="rect">
            <a:avLst/>
          </a:prstGeom>
        </xdr:spPr>
      </xdr:pic>
    </xdr:grpSp>
    <xdr:clientData/>
  </xdr:twoCellAnchor>
  <xdr:twoCellAnchor editAs="oneCell">
    <xdr:from>
      <xdr:col>2</xdr:col>
      <xdr:colOff>342122</xdr:colOff>
      <xdr:row>0</xdr:row>
      <xdr:rowOff>106680</xdr:rowOff>
    </xdr:from>
    <xdr:to>
      <xdr:col>2</xdr:col>
      <xdr:colOff>1530842</xdr:colOff>
      <xdr:row>0</xdr:row>
      <xdr:rowOff>426720</xdr:rowOff>
    </xdr:to>
    <xdr:grpSp>
      <xdr:nvGrpSpPr>
        <xdr:cNvPr id="17" name="Group 16">
          <a:extLst>
            <a:ext uri="{FF2B5EF4-FFF2-40B4-BE49-F238E27FC236}">
              <a16:creationId xmlns:a16="http://schemas.microsoft.com/office/drawing/2014/main" id="{00000000-0008-0000-0500-000011000000}"/>
            </a:ext>
          </a:extLst>
        </xdr:cNvPr>
        <xdr:cNvGrpSpPr/>
      </xdr:nvGrpSpPr>
      <xdr:grpSpPr>
        <a:xfrm>
          <a:off x="2153816" y="106680"/>
          <a:ext cx="1188720" cy="320040"/>
          <a:chOff x="2438400" y="106680"/>
          <a:chExt cx="1188720" cy="320040"/>
        </a:xfrm>
      </xdr:grpSpPr>
      <xdr:sp macro="[0]!GoDataset" textlink="">
        <xdr:nvSpPr>
          <xdr:cNvPr id="18" name="Rectangle: Rounded Corners 17">
            <a:extLst>
              <a:ext uri="{FF2B5EF4-FFF2-40B4-BE49-F238E27FC236}">
                <a16:creationId xmlns:a16="http://schemas.microsoft.com/office/drawing/2014/main" id="{00000000-0008-0000-0500-000012000000}"/>
              </a:ext>
            </a:extLst>
          </xdr:cNvPr>
          <xdr:cNvSpPr/>
        </xdr:nvSpPr>
        <xdr:spPr>
          <a:xfrm>
            <a:off x="243840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Dataset</a:t>
            </a:r>
          </a:p>
        </xdr:txBody>
      </xdr:sp>
      <xdr:pic>
        <xdr:nvPicPr>
          <xdr:cNvPr id="19" name="Graphic 18" descr="Database with solid fill">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468880" y="114300"/>
            <a:ext cx="266400" cy="266400"/>
          </a:xfrm>
          <a:prstGeom prst="rect">
            <a:avLst/>
          </a:prstGeom>
        </xdr:spPr>
      </xdr:pic>
    </xdr:grpSp>
    <xdr:clientData/>
  </xdr:twoCellAnchor>
  <xdr:twoCellAnchor editAs="oneCell">
    <xdr:from>
      <xdr:col>5</xdr:col>
      <xdr:colOff>579276</xdr:colOff>
      <xdr:row>0</xdr:row>
      <xdr:rowOff>106680</xdr:rowOff>
    </xdr:from>
    <xdr:to>
      <xdr:col>6</xdr:col>
      <xdr:colOff>1235996</xdr:colOff>
      <xdr:row>0</xdr:row>
      <xdr:rowOff>426720</xdr:rowOff>
    </xdr:to>
    <xdr:grpSp>
      <xdr:nvGrpSpPr>
        <xdr:cNvPr id="20" name="Group 19">
          <a:extLst>
            <a:ext uri="{FF2B5EF4-FFF2-40B4-BE49-F238E27FC236}">
              <a16:creationId xmlns:a16="http://schemas.microsoft.com/office/drawing/2014/main" id="{00000000-0008-0000-0500-000014000000}"/>
            </a:ext>
          </a:extLst>
        </xdr:cNvPr>
        <xdr:cNvGrpSpPr/>
      </xdr:nvGrpSpPr>
      <xdr:grpSpPr>
        <a:xfrm>
          <a:off x="8650256" y="106680"/>
          <a:ext cx="1263209" cy="320040"/>
          <a:chOff x="9715500" y="106680"/>
          <a:chExt cx="1272540" cy="320040"/>
        </a:xfrm>
      </xdr:grpSpPr>
      <xdr:sp macro="[0]!GoTaxReport" textlink="">
        <xdr:nvSpPr>
          <xdr:cNvPr id="21" name="Rectangle: Rounded Corners 20">
            <a:extLst>
              <a:ext uri="{FF2B5EF4-FFF2-40B4-BE49-F238E27FC236}">
                <a16:creationId xmlns:a16="http://schemas.microsoft.com/office/drawing/2014/main" id="{00000000-0008-0000-0500-000015000000}"/>
              </a:ext>
            </a:extLst>
          </xdr:cNvPr>
          <xdr:cNvSpPr/>
        </xdr:nvSpPr>
        <xdr:spPr>
          <a:xfrm>
            <a:off x="979932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Tax Report</a:t>
            </a:r>
          </a:p>
        </xdr:txBody>
      </xdr:sp>
      <xdr:pic>
        <xdr:nvPicPr>
          <xdr:cNvPr id="22" name="Graphic 21" descr="Document with solid fill">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715500" y="114300"/>
            <a:ext cx="266400" cy="266400"/>
          </a:xfrm>
          <a:prstGeom prst="rect">
            <a:avLst/>
          </a:prstGeom>
        </xdr:spPr>
      </xdr:pic>
    </xdr:grpSp>
    <xdr:clientData/>
  </xdr:twoCellAnchor>
  <xdr:twoCellAnchor>
    <xdr:from>
      <xdr:col>2</xdr:col>
      <xdr:colOff>1803919</xdr:colOff>
      <xdr:row>0</xdr:row>
      <xdr:rowOff>106680</xdr:rowOff>
    </xdr:from>
    <xdr:to>
      <xdr:col>2</xdr:col>
      <xdr:colOff>3112383</xdr:colOff>
      <xdr:row>0</xdr:row>
      <xdr:rowOff>426720</xdr:rowOff>
    </xdr:to>
    <xdr:grpSp>
      <xdr:nvGrpSpPr>
        <xdr:cNvPr id="33" name="Group 32">
          <a:extLst>
            <a:ext uri="{FF2B5EF4-FFF2-40B4-BE49-F238E27FC236}">
              <a16:creationId xmlns:a16="http://schemas.microsoft.com/office/drawing/2014/main" id="{00000000-0008-0000-0500-000021000000}"/>
            </a:ext>
          </a:extLst>
        </xdr:cNvPr>
        <xdr:cNvGrpSpPr/>
      </xdr:nvGrpSpPr>
      <xdr:grpSpPr>
        <a:xfrm>
          <a:off x="3615613" y="106680"/>
          <a:ext cx="1308464" cy="320040"/>
          <a:chOff x="3615613" y="106680"/>
          <a:chExt cx="1308464" cy="320040"/>
        </a:xfrm>
      </xdr:grpSpPr>
      <xdr:sp macro="[0]!GoDashboard" textlink="">
        <xdr:nvSpPr>
          <xdr:cNvPr id="24" name="Rectangle: Rounded Corners 23">
            <a:extLst>
              <a:ext uri="{FF2B5EF4-FFF2-40B4-BE49-F238E27FC236}">
                <a16:creationId xmlns:a16="http://schemas.microsoft.com/office/drawing/2014/main" id="{00000000-0008-0000-0500-000018000000}"/>
              </a:ext>
            </a:extLst>
          </xdr:cNvPr>
          <xdr:cNvSpPr/>
        </xdr:nvSpPr>
        <xdr:spPr>
          <a:xfrm>
            <a:off x="3615613" y="106680"/>
            <a:ext cx="1308464" cy="320040"/>
          </a:xfrm>
          <a:prstGeom prst="roundRect">
            <a:avLst>
              <a:gd name="adj" fmla="val 5556"/>
            </a:avLst>
          </a:prstGeom>
          <a:solidFill>
            <a:schemeClr val="tx2">
              <a:lumMod val="60000"/>
              <a:lumOff val="40000"/>
            </a:schemeClr>
          </a:solidFill>
          <a:ln>
            <a:noFill/>
          </a:ln>
          <a:effectLst>
            <a:innerShdw blurRad="635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Dashboard</a:t>
            </a:r>
          </a:p>
        </xdr:txBody>
      </xdr:sp>
      <xdr:pic>
        <xdr:nvPicPr>
          <xdr:cNvPr id="25" name="Graphic 24" descr="Presentation with bar chart with solid fill">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3620900" y="129540"/>
            <a:ext cx="252089" cy="252000"/>
          </a:xfrm>
          <a:prstGeom prst="rect">
            <a:avLst/>
          </a:prstGeom>
        </xdr:spPr>
      </xdr:pic>
    </xdr:grpSp>
    <xdr:clientData/>
  </xdr:twoCellAnchor>
  <xdr:twoCellAnchor editAs="oneCell">
    <xdr:from>
      <xdr:col>2</xdr:col>
      <xdr:colOff>3526349</xdr:colOff>
      <xdr:row>0</xdr:row>
      <xdr:rowOff>106680</xdr:rowOff>
    </xdr:from>
    <xdr:to>
      <xdr:col>3</xdr:col>
      <xdr:colOff>571034</xdr:colOff>
      <xdr:row>0</xdr:row>
      <xdr:rowOff>426720</xdr:rowOff>
    </xdr:to>
    <xdr:grpSp>
      <xdr:nvGrpSpPr>
        <xdr:cNvPr id="26" name="Group 25">
          <a:extLst>
            <a:ext uri="{FF2B5EF4-FFF2-40B4-BE49-F238E27FC236}">
              <a16:creationId xmlns:a16="http://schemas.microsoft.com/office/drawing/2014/main" id="{00000000-0008-0000-0500-00001A000000}"/>
            </a:ext>
          </a:extLst>
        </xdr:cNvPr>
        <xdr:cNvGrpSpPr/>
      </xdr:nvGrpSpPr>
      <xdr:grpSpPr>
        <a:xfrm>
          <a:off x="5338043" y="106680"/>
          <a:ext cx="1243460" cy="320040"/>
          <a:chOff x="6050280" y="106680"/>
          <a:chExt cx="1249680" cy="320040"/>
        </a:xfrm>
      </xdr:grpSpPr>
      <xdr:sp macro="[0]!GoCategories" textlink="">
        <xdr:nvSpPr>
          <xdr:cNvPr id="27" name="Rectangle: Rounded Corners 26">
            <a:extLst>
              <a:ext uri="{FF2B5EF4-FFF2-40B4-BE49-F238E27FC236}">
                <a16:creationId xmlns:a16="http://schemas.microsoft.com/office/drawing/2014/main" id="{00000000-0008-0000-0500-00001B000000}"/>
              </a:ext>
            </a:extLst>
          </xdr:cNvPr>
          <xdr:cNvSpPr/>
        </xdr:nvSpPr>
        <xdr:spPr>
          <a:xfrm>
            <a:off x="611124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Categories</a:t>
            </a:r>
          </a:p>
        </xdr:txBody>
      </xdr:sp>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050280" y="152400"/>
            <a:ext cx="216000" cy="216000"/>
          </a:xfrm>
          <a:prstGeom prst="rect">
            <a:avLst/>
          </a:prstGeom>
        </xdr:spPr>
      </xdr:pic>
    </xdr:grpSp>
    <xdr:clientData/>
  </xdr:twoCellAnchor>
  <xdr:twoCellAnchor editAs="oneCell">
    <xdr:from>
      <xdr:col>4</xdr:col>
      <xdr:colOff>302001</xdr:colOff>
      <xdr:row>0</xdr:row>
      <xdr:rowOff>106680</xdr:rowOff>
    </xdr:from>
    <xdr:to>
      <xdr:col>5</xdr:col>
      <xdr:colOff>182880</xdr:colOff>
      <xdr:row>0</xdr:row>
      <xdr:rowOff>426720</xdr:rowOff>
    </xdr:to>
    <xdr:grpSp>
      <xdr:nvGrpSpPr>
        <xdr:cNvPr id="29" name="Group 28">
          <a:extLst>
            <a:ext uri="{FF2B5EF4-FFF2-40B4-BE49-F238E27FC236}">
              <a16:creationId xmlns:a16="http://schemas.microsoft.com/office/drawing/2014/main" id="{00000000-0008-0000-0500-00001D000000}"/>
            </a:ext>
          </a:extLst>
        </xdr:cNvPr>
        <xdr:cNvGrpSpPr/>
      </xdr:nvGrpSpPr>
      <xdr:grpSpPr>
        <a:xfrm>
          <a:off x="6918960" y="106680"/>
          <a:ext cx="1334900" cy="320040"/>
          <a:chOff x="7757160" y="106680"/>
          <a:chExt cx="1341120" cy="320040"/>
        </a:xfrm>
      </xdr:grpSpPr>
      <xdr:sp macro="[0]!GoTaxSummary" textlink="">
        <xdr:nvSpPr>
          <xdr:cNvPr id="31" name="Rectangle: Rounded Corners 30">
            <a:extLst>
              <a:ext uri="{FF2B5EF4-FFF2-40B4-BE49-F238E27FC236}">
                <a16:creationId xmlns:a16="http://schemas.microsoft.com/office/drawing/2014/main" id="{00000000-0008-0000-0500-00001F000000}"/>
              </a:ext>
            </a:extLst>
          </xdr:cNvPr>
          <xdr:cNvSpPr/>
        </xdr:nvSpPr>
        <xdr:spPr>
          <a:xfrm>
            <a:off x="7909560" y="106680"/>
            <a:ext cx="1188720" cy="320040"/>
          </a:xfrm>
          <a:prstGeom prst="roundRect">
            <a:avLst>
              <a:gd name="adj" fmla="val 5556"/>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Arial" panose="020B0604020202020204" pitchFamily="34" charset="0"/>
                <a:cs typeface="Arial" panose="020B0604020202020204" pitchFamily="34" charset="0"/>
              </a:rPr>
              <a:t>Tax Summary</a:t>
            </a:r>
          </a:p>
        </xdr:txBody>
      </xdr:sp>
      <xdr:pic>
        <xdr:nvPicPr>
          <xdr:cNvPr id="32" name="Graphic 31" descr="Tax with solid fill">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7757160" y="129540"/>
            <a:ext cx="266400" cy="26640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17929</xdr:colOff>
      <xdr:row>10</xdr:row>
      <xdr:rowOff>35860</xdr:rowOff>
    </xdr:from>
    <xdr:to>
      <xdr:col>19</xdr:col>
      <xdr:colOff>484094</xdr:colOff>
      <xdr:row>12</xdr:row>
      <xdr:rowOff>89648</xdr:rowOff>
    </xdr:to>
    <xdr:sp macro="[0]!Top5_Click" textlink="">
      <xdr:nvSpPr>
        <xdr:cNvPr id="21" name="Rectangle: Rounded Corners 20">
          <a:extLst>
            <a:ext uri="{FF2B5EF4-FFF2-40B4-BE49-F238E27FC236}">
              <a16:creationId xmlns:a16="http://schemas.microsoft.com/office/drawing/2014/main" id="{00000000-0008-0000-0600-000015000000}"/>
            </a:ext>
          </a:extLst>
        </xdr:cNvPr>
        <xdr:cNvSpPr/>
      </xdr:nvSpPr>
      <xdr:spPr>
        <a:xfrm>
          <a:off x="13192909" y="1681780"/>
          <a:ext cx="1418665" cy="41954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
            </a:rPr>
            <a:t>Top Five</a:t>
          </a:r>
        </a:p>
      </xdr:txBody>
    </xdr:sp>
    <xdr:clientData/>
  </xdr:twoCellAnchor>
  <xdr:twoCellAnchor>
    <xdr:from>
      <xdr:col>19</xdr:col>
      <xdr:colOff>663388</xdr:colOff>
      <xdr:row>10</xdr:row>
      <xdr:rowOff>35860</xdr:rowOff>
    </xdr:from>
    <xdr:to>
      <xdr:col>22</xdr:col>
      <xdr:colOff>197224</xdr:colOff>
      <xdr:row>12</xdr:row>
      <xdr:rowOff>89648</xdr:rowOff>
    </xdr:to>
    <xdr:sp macro="[0]!Bottom5_Click" textlink="">
      <xdr:nvSpPr>
        <xdr:cNvPr id="22" name="Rectangle: Rounded Corners 21">
          <a:extLst>
            <a:ext uri="{FF2B5EF4-FFF2-40B4-BE49-F238E27FC236}">
              <a16:creationId xmlns:a16="http://schemas.microsoft.com/office/drawing/2014/main" id="{00000000-0008-0000-0600-000016000000}"/>
            </a:ext>
          </a:extLst>
        </xdr:cNvPr>
        <xdr:cNvSpPr/>
      </xdr:nvSpPr>
      <xdr:spPr>
        <a:xfrm>
          <a:off x="14790868" y="1681780"/>
          <a:ext cx="1568376" cy="41954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ptos  "/>
            </a:rPr>
            <a:t>Bottom</a:t>
          </a:r>
          <a:r>
            <a:rPr lang="en-US" sz="1100" b="1" baseline="0">
              <a:latin typeface="Aptos  "/>
            </a:rPr>
            <a:t>  Five</a:t>
          </a:r>
          <a:endParaRPr lang="en-US" sz="1100" b="1">
            <a:latin typeface="Aptos  "/>
          </a:endParaRPr>
        </a:p>
      </xdr:txBody>
    </xdr:sp>
    <xdr:clientData/>
  </xdr:twoCellAnchor>
  <xdr:twoCellAnchor>
    <xdr:from>
      <xdr:col>0</xdr:col>
      <xdr:colOff>206829</xdr:colOff>
      <xdr:row>17</xdr:row>
      <xdr:rowOff>32658</xdr:rowOff>
    </xdr:from>
    <xdr:to>
      <xdr:col>5</xdr:col>
      <xdr:colOff>566058</xdr:colOff>
      <xdr:row>32</xdr:row>
      <xdr:rowOff>1</xdr:rowOff>
    </xdr:to>
    <xdr:graphicFrame macro="">
      <xdr:nvGraphicFramePr>
        <xdr:cNvPr id="23" name="Chart 22">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335280</xdr:colOff>
      <xdr:row>32</xdr:row>
      <xdr:rowOff>0</xdr:rowOff>
    </xdr:from>
    <xdr:to>
      <xdr:col>6</xdr:col>
      <xdr:colOff>60960</xdr:colOff>
      <xdr:row>47</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434340</xdr:colOff>
      <xdr:row>32</xdr:row>
      <xdr:rowOff>0</xdr:rowOff>
    </xdr:from>
    <xdr:to>
      <xdr:col>8</xdr:col>
      <xdr:colOff>739140</xdr:colOff>
      <xdr:row>45</xdr:row>
      <xdr:rowOff>89536</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398226" y="5736771"/>
              <a:ext cx="1825534" cy="24952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533400</xdr:colOff>
      <xdr:row>14</xdr:row>
      <xdr:rowOff>68580</xdr:rowOff>
    </xdr:from>
    <xdr:to>
      <xdr:col>24</xdr:col>
      <xdr:colOff>175260</xdr:colOff>
      <xdr:row>29</xdr:row>
      <xdr:rowOff>68580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434340</xdr:colOff>
      <xdr:row>17</xdr:row>
      <xdr:rowOff>144780</xdr:rowOff>
    </xdr:from>
    <xdr:to>
      <xdr:col>8</xdr:col>
      <xdr:colOff>739140</xdr:colOff>
      <xdr:row>31</xdr:row>
      <xdr:rowOff>51435</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398226" y="3105694"/>
              <a:ext cx="1825534" cy="24974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29</xdr:col>
      <xdr:colOff>544287</xdr:colOff>
      <xdr:row>10</xdr:row>
      <xdr:rowOff>21772</xdr:rowOff>
    </xdr:from>
    <xdr:to>
      <xdr:col>37</xdr:col>
      <xdr:colOff>239487</xdr:colOff>
      <xdr:row>24</xdr:row>
      <xdr:rowOff>174172</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0836347" y="1850572"/>
              <a:ext cx="4572000" cy="271272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609600</xdr:colOff>
      <xdr:row>4</xdr:row>
      <xdr:rowOff>76200</xdr:rowOff>
    </xdr:from>
    <xdr:to>
      <xdr:col>2</xdr:col>
      <xdr:colOff>273543</xdr:colOff>
      <xdr:row>6</xdr:row>
      <xdr:rowOff>33590</xdr:rowOff>
    </xdr:to>
    <xdr:sp macro="[0]!HideDetails_Click" textlink="">
      <xdr:nvSpPr>
        <xdr:cNvPr id="3" name="TopFiveButton">
          <a:extLst>
            <a:ext uri="{FF2B5EF4-FFF2-40B4-BE49-F238E27FC236}">
              <a16:creationId xmlns:a16="http://schemas.microsoft.com/office/drawing/2014/main" id="{00000000-0008-0000-0600-000003000000}"/>
            </a:ext>
          </a:extLst>
        </xdr:cNvPr>
        <xdr:cNvSpPr/>
      </xdr:nvSpPr>
      <xdr:spPr>
        <a:xfrm>
          <a:off x="609600" y="816429"/>
          <a:ext cx="1220600" cy="327504"/>
        </a:xfrm>
        <a:prstGeom prst="roundRect">
          <a:avLst/>
        </a:prstGeom>
        <a:solidFill>
          <a:schemeClr val="bg1"/>
        </a:solidFill>
        <a:ln>
          <a:no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Aptos  "/>
            </a:rPr>
            <a:t>Hide Helper</a:t>
          </a:r>
        </a:p>
        <a:p>
          <a:pPr algn="ctr"/>
          <a:endParaRPr lang="en-US" sz="1200" b="1">
            <a:solidFill>
              <a:sysClr val="windowText" lastClr="000000"/>
            </a:solidFill>
            <a:latin typeface="Aptos  "/>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236220</xdr:colOff>
      <xdr:row>19</xdr:row>
      <xdr:rowOff>19050</xdr:rowOff>
    </xdr:from>
    <xdr:to>
      <xdr:col>3</xdr:col>
      <xdr:colOff>2514600</xdr:colOff>
      <xdr:row>34</xdr:row>
      <xdr:rowOff>19050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2644140</xdr:colOff>
      <xdr:row>19</xdr:row>
      <xdr:rowOff>3810</xdr:rowOff>
    </xdr:from>
    <xdr:to>
      <xdr:col>15</xdr:col>
      <xdr:colOff>228600</xdr:colOff>
      <xdr:row>38</xdr:row>
      <xdr:rowOff>60960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708660</xdr:colOff>
          <xdr:row>11</xdr:row>
          <xdr:rowOff>0</xdr:rowOff>
        </xdr:from>
        <xdr:to>
          <xdr:col>9</xdr:col>
          <xdr:colOff>883920</xdr:colOff>
          <xdr:row>11</xdr:row>
          <xdr:rowOff>373380</xdr:rowOff>
        </xdr:to>
        <xdr:sp macro="" textlink="">
          <xdr:nvSpPr>
            <xdr:cNvPr id="6148" name="Spinner 4" hidden="1">
              <a:extLst>
                <a:ext uri="{63B3BB69-23CF-44E3-9099-C40C66FF867C}">
                  <a14:compatExt spid="_x0000_s6148"/>
                </a:ext>
                <a:ext uri="{FF2B5EF4-FFF2-40B4-BE49-F238E27FC236}">
                  <a16:creationId xmlns:a16="http://schemas.microsoft.com/office/drawing/2014/main" id="{00000000-0008-0000-0B00-000004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708660</xdr:colOff>
          <xdr:row>12</xdr:row>
          <xdr:rowOff>7620</xdr:rowOff>
        </xdr:from>
        <xdr:to>
          <xdr:col>9</xdr:col>
          <xdr:colOff>891540</xdr:colOff>
          <xdr:row>12</xdr:row>
          <xdr:rowOff>381000</xdr:rowOff>
        </xdr:to>
        <xdr:sp macro="" textlink="">
          <xdr:nvSpPr>
            <xdr:cNvPr id="6149" name="Spinner 5" hidden="1">
              <a:extLst>
                <a:ext uri="{63B3BB69-23CF-44E3-9099-C40C66FF867C}">
                  <a14:compatExt spid="_x0000_s6149"/>
                </a:ext>
                <a:ext uri="{FF2B5EF4-FFF2-40B4-BE49-F238E27FC236}">
                  <a16:creationId xmlns:a16="http://schemas.microsoft.com/office/drawing/2014/main" id="{00000000-0008-0000-0B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701040</xdr:colOff>
          <xdr:row>13</xdr:row>
          <xdr:rowOff>7620</xdr:rowOff>
        </xdr:from>
        <xdr:to>
          <xdr:col>9</xdr:col>
          <xdr:colOff>876300</xdr:colOff>
          <xdr:row>13</xdr:row>
          <xdr:rowOff>381000</xdr:rowOff>
        </xdr:to>
        <xdr:sp macro="" textlink="">
          <xdr:nvSpPr>
            <xdr:cNvPr id="6150" name="Spinner 6" hidden="1">
              <a:extLst>
                <a:ext uri="{63B3BB69-23CF-44E3-9099-C40C66FF867C}">
                  <a14:compatExt spid="_x0000_s6150"/>
                </a:ext>
                <a:ext uri="{FF2B5EF4-FFF2-40B4-BE49-F238E27FC236}">
                  <a16:creationId xmlns:a16="http://schemas.microsoft.com/office/drawing/2014/main" id="{00000000-0008-0000-0B00-000006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708660</xdr:colOff>
          <xdr:row>15</xdr:row>
          <xdr:rowOff>0</xdr:rowOff>
        </xdr:from>
        <xdr:to>
          <xdr:col>9</xdr:col>
          <xdr:colOff>883920</xdr:colOff>
          <xdr:row>15</xdr:row>
          <xdr:rowOff>373380</xdr:rowOff>
        </xdr:to>
        <xdr:sp macro="" textlink="">
          <xdr:nvSpPr>
            <xdr:cNvPr id="6151" name="Spinner 7" hidden="1">
              <a:extLst>
                <a:ext uri="{63B3BB69-23CF-44E3-9099-C40C66FF867C}">
                  <a14:compatExt spid="_x0000_s6151"/>
                </a:ext>
                <a:ext uri="{FF2B5EF4-FFF2-40B4-BE49-F238E27FC236}">
                  <a16:creationId xmlns:a16="http://schemas.microsoft.com/office/drawing/2014/main" id="{00000000-0008-0000-0B00-000007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708660</xdr:colOff>
          <xdr:row>16</xdr:row>
          <xdr:rowOff>7620</xdr:rowOff>
        </xdr:from>
        <xdr:to>
          <xdr:col>9</xdr:col>
          <xdr:colOff>876300</xdr:colOff>
          <xdr:row>17</xdr:row>
          <xdr:rowOff>15240</xdr:rowOff>
        </xdr:to>
        <xdr:sp macro="" textlink="">
          <xdr:nvSpPr>
            <xdr:cNvPr id="6152" name="Spinner 8" hidden="1">
              <a:extLst>
                <a:ext uri="{63B3BB69-23CF-44E3-9099-C40C66FF867C}">
                  <a14:compatExt spid="_x0000_s6152"/>
                </a:ext>
                <a:ext uri="{FF2B5EF4-FFF2-40B4-BE49-F238E27FC236}">
                  <a16:creationId xmlns:a16="http://schemas.microsoft.com/office/drawing/2014/main" id="{00000000-0008-0000-0B00-000008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28239</xdr:colOff>
      <xdr:row>33</xdr:row>
      <xdr:rowOff>251011</xdr:rowOff>
    </xdr:from>
    <xdr:to>
      <xdr:col>11</xdr:col>
      <xdr:colOff>573741</xdr:colOff>
      <xdr:row>44</xdr:row>
      <xdr:rowOff>98612</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1282401</xdr:colOff>
      <xdr:row>2</xdr:row>
      <xdr:rowOff>8964</xdr:rowOff>
    </xdr:from>
    <xdr:to>
      <xdr:col>1</xdr:col>
      <xdr:colOff>2850776</xdr:colOff>
      <xdr:row>2</xdr:row>
      <xdr:rowOff>1183002</xdr:rowOff>
    </xdr:to>
    <xdr:pic>
      <xdr:nvPicPr>
        <xdr:cNvPr id="5" name="Picture 4" descr="Lembaga Hasil Dalam Negeri Logo PNG Vector (EPS) Free Download">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78236" y="977152"/>
          <a:ext cx="1568375" cy="11740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13</xdr:col>
          <xdr:colOff>83820</xdr:colOff>
          <xdr:row>39</xdr:row>
          <xdr:rowOff>22860</xdr:rowOff>
        </xdr:from>
        <xdr:to>
          <xdr:col>14</xdr:col>
          <xdr:colOff>754380</xdr:colOff>
          <xdr:row>41</xdr:row>
          <xdr:rowOff>38100</xdr:rowOff>
        </xdr:to>
        <xdr:sp macro="" textlink="">
          <xdr:nvSpPr>
            <xdr:cNvPr id="6155" name="TaxBracket" hidden="1">
              <a:extLst>
                <a:ext uri="{63B3BB69-23CF-44E3-9099-C40C66FF867C}">
                  <a14:compatExt spid="_x0000_s6155"/>
                </a:ext>
                <a:ext uri="{FF2B5EF4-FFF2-40B4-BE49-F238E27FC236}">
                  <a16:creationId xmlns:a16="http://schemas.microsoft.com/office/drawing/2014/main" id="{00000000-0008-0000-0B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706582</xdr:colOff>
      <xdr:row>45</xdr:row>
      <xdr:rowOff>27709</xdr:rowOff>
    </xdr:from>
    <xdr:to>
      <xdr:col>12</xdr:col>
      <xdr:colOff>116541</xdr:colOff>
      <xdr:row>47</xdr:row>
      <xdr:rowOff>26894</xdr:rowOff>
    </xdr:to>
    <xdr:sp macro="[0]!Sheet6.SaveRangeAsPDF" textlink="">
      <xdr:nvSpPr>
        <xdr:cNvPr id="3" name="Rectangle 2">
          <a:extLst>
            <a:ext uri="{FF2B5EF4-FFF2-40B4-BE49-F238E27FC236}">
              <a16:creationId xmlns:a16="http://schemas.microsoft.com/office/drawing/2014/main" id="{00000000-0008-0000-0B00-000003000000}"/>
            </a:ext>
          </a:extLst>
        </xdr:cNvPr>
        <xdr:cNvSpPr/>
      </xdr:nvSpPr>
      <xdr:spPr>
        <a:xfrm>
          <a:off x="9769900" y="15706980"/>
          <a:ext cx="1839394" cy="50120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1600">
              <a:latin typeface="Avenir Next LT Pro" panose="020B0504020202020204" pitchFamily="34" charset="0"/>
            </a:rPr>
            <a:t>Save as PDF</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Project(pky)%20V2%20.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321.869084375001" createdVersion="8" refreshedVersion="8" minRefreshableVersion="3" recordCount="315" xr:uid="{999D5C7A-C1DB-48F1-9530-17041A44B266}">
  <cacheSource type="worksheet">
    <worksheetSource name="Expenses_2023" r:id="rId2"/>
  </cacheSource>
  <cacheFields count="10">
    <cacheField name="Date" numFmtId="14">
      <sharedItems containsSemiMixedTypes="0" containsNonDate="0" containsDate="1" containsString="0" minDate="2023-01-01T00:00:00" maxDate="2023-12-28T00:00:00"/>
    </cacheField>
    <cacheField name="Month" numFmtId="0">
      <sharedItems count="12">
        <s v="April"/>
        <s v="October"/>
        <s v="June"/>
        <s v="December"/>
        <s v="May"/>
        <s v="November"/>
        <s v="January"/>
        <s v="July"/>
        <s v="March"/>
        <s v="September"/>
        <s v="February"/>
        <s v="August"/>
      </sharedItems>
    </cacheField>
    <cacheField name="Item" numFmtId="0">
      <sharedItems/>
    </cacheField>
    <cacheField name="Category" numFmtId="0">
      <sharedItems count="12">
        <s v="Health"/>
        <s v="Entertainment"/>
        <s v="Food"/>
        <s v="Transportation"/>
        <s v="Education"/>
        <s v="Insurance"/>
        <s v="Utilities"/>
        <s v="Investment"/>
        <s v="Electronics"/>
        <s v="Housing"/>
        <s v="Food " u="1"/>
        <s v="Life" u="1"/>
      </sharedItems>
    </cacheField>
    <cacheField name="Subcategory" numFmtId="0">
      <sharedItems/>
    </cacheField>
    <cacheField name="Recipient" numFmtId="0">
      <sharedItems count="74">
        <s v="Pantai Hospital"/>
        <s v="Art Expo"/>
        <s v="Banglo 289"/>
        <s v="TGV"/>
        <s v="The Steakhouse Kl"/>
        <s v="Toys&quot;R&quot;Us"/>
        <s v="Tealive"/>
        <s v="Aeon"/>
        <s v="Mookata"/>
        <s v="MCD"/>
        <s v="Burger King"/>
        <s v="Ramly Burger"/>
        <s v="Secret Recipe"/>
        <s v="Public Bank"/>
        <s v="Robert's Char Kuey Teow"/>
        <s v="Sg Long Restaurant"/>
        <s v="Charlie's Café"/>
        <s v="Chicken Rice Shop"/>
        <s v="Little Legends"/>
        <s v="Bai Wei"/>
        <s v="Starbucks"/>
        <s v="The Joke Factory"/>
        <s v="Crackhouse Comedy Club"/>
        <s v="Comic Fiesta"/>
        <s v="Live Nation"/>
        <s v="Yee Fatt"/>
        <s v="Ming Court "/>
        <s v="Mr B"/>
        <s v="Great Eastern"/>
        <s v="TK Bakery"/>
        <s v="TNB"/>
        <s v="EPF"/>
        <s v="Puzzle Planet"/>
        <s v="KFC"/>
        <s v="Fire City"/>
        <s v="Secretlab"/>
        <s v="Game Expo "/>
        <s v="Logitech"/>
        <s v="HF Lifestyle"/>
        <s v="PLUS"/>
        <s v="TIME"/>
        <s v="Red Box"/>
        <s v="The Zoo"/>
        <s v="Daorae"/>
        <s v="D'Laksa"/>
        <s v="Chica Bonita"/>
        <s v="Rapid KL"/>
        <s v="Wawa"/>
        <s v="Village Park"/>
        <s v="KFD"/>
        <s v="MSI"/>
        <s v="Apple Store"/>
        <s v="Mee Tarik"/>
        <s v="PlayStation Plus"/>
        <s v="TRX"/>
        <s v="Pavilion"/>
        <s v="Ah Kooi Hokkien Mee"/>
        <s v="Shell"/>
        <s v="Pizza Hut"/>
        <s v="Public Mutual"/>
        <s v="GameStop"/>
        <s v="Kanbe"/>
        <s v="Mamak"/>
        <s v="Satay Kajang"/>
        <s v="House of Wheat"/>
        <s v="Al-Amar"/>
        <s v="SOCSO"/>
        <s v="SSPN Bank"/>
        <s v="Sushi King"/>
        <s v="Sushi Zanmai"/>
        <s v="Teppanyaki"/>
        <s v="Genting Group"/>
        <s v="KTMB"/>
        <s v="Air Selangor"/>
      </sharedItems>
    </cacheField>
    <cacheField name="Unit" numFmtId="0">
      <sharedItems containsSemiMixedTypes="0" containsString="0" containsNumber="1" containsInteger="1" minValue="1" maxValue="3"/>
    </cacheField>
    <cacheField name="Price" numFmtId="164">
      <sharedItems containsSemiMixedTypes="0" containsString="0" containsNumber="1" minValue="1" maxValue="5000"/>
    </cacheField>
    <cacheField name="Total" numFmtId="164">
      <sharedItems containsSemiMixedTypes="0" containsString="0" containsNumber="1" minValue="1" maxValue="5000"/>
    </cacheField>
    <cacheField name="Tax Relief Category" numFmtId="0">
      <sharedItems containsBlank="1"/>
    </cacheField>
  </cacheFields>
  <extLst>
    <ext xmlns:x14="http://schemas.microsoft.com/office/spreadsheetml/2009/9/main" uri="{725AE2AE-9491-48be-B2B4-4EB974FC3084}">
      <x14:pivotCacheDefinition pivotCacheId="170598337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322.873507870368" createdVersion="8" refreshedVersion="8" minRefreshableVersion="3" recordCount="316" xr:uid="{C3B4F92A-5093-40C2-97F0-E8B5E88DB257}">
  <cacheSource type="worksheet">
    <worksheetSource name="Expenses_2023"/>
  </cacheSource>
  <cacheFields count="10">
    <cacheField name="Date" numFmtId="14">
      <sharedItems containsNonDate="0" containsDate="1" containsString="0" containsBlank="1" minDate="2023-01-01T00:00:00" maxDate="2023-12-28T00:00:00"/>
    </cacheField>
    <cacheField name="Month" numFmtId="0">
      <sharedItems containsBlank="1"/>
    </cacheField>
    <cacheField name="Item" numFmtId="0">
      <sharedItems containsBlank="1"/>
    </cacheField>
    <cacheField name="Category" numFmtId="0">
      <sharedItems containsBlank="1"/>
    </cacheField>
    <cacheField name="Subcategory" numFmtId="0">
      <sharedItems containsBlank="1"/>
    </cacheField>
    <cacheField name="Recipient" numFmtId="0">
      <sharedItems containsBlank="1"/>
    </cacheField>
    <cacheField name="Unit" numFmtId="0">
      <sharedItems containsString="0" containsBlank="1" containsNumber="1" containsInteger="1" minValue="1" maxValue="3"/>
    </cacheField>
    <cacheField name="Price" numFmtId="170">
      <sharedItems containsString="0" containsBlank="1" containsNumber="1" minValue="1" maxValue="5000"/>
    </cacheField>
    <cacheField name="Total" numFmtId="170">
      <sharedItems containsString="0" containsBlank="1" containsNumber="1" minValue="1" maxValue="5000"/>
    </cacheField>
    <cacheField name="Tax Relief Category" numFmtId="0">
      <sharedItems containsBlank="1"/>
    </cacheField>
  </cacheFields>
  <extLst>
    <ext xmlns:x14="http://schemas.microsoft.com/office/spreadsheetml/2009/9/main" uri="{725AE2AE-9491-48be-B2B4-4EB974FC3084}">
      <x14:pivotCacheDefinition pivotCacheId="9843503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5">
  <r>
    <d v="2023-04-20T00:00:00"/>
    <x v="0"/>
    <s v="Annual Medical Checkup"/>
    <x v="0"/>
    <s v="Examination"/>
    <x v="0"/>
    <n v="1"/>
    <n v="300"/>
    <n v="300"/>
    <s v="Medical Examination(self/spouse/child)"/>
  </r>
  <r>
    <d v="2023-10-27T00:00:00"/>
    <x v="1"/>
    <s v="Art Expo 3-Day Pass"/>
    <x v="1"/>
    <s v="Event"/>
    <x v="1"/>
    <n v="3"/>
    <n v="15"/>
    <n v="45"/>
    <s v="Non-Tax Relief Expenses"/>
  </r>
  <r>
    <d v="2023-06-03T00:00:00"/>
    <x v="2"/>
    <s v="Banglo 289 Breakfast"/>
    <x v="2"/>
    <s v="Breakfast"/>
    <x v="2"/>
    <n v="1"/>
    <n v="20"/>
    <n v="20"/>
    <s v="Non-Tax Relief Expenses"/>
  </r>
  <r>
    <d v="2023-12-02T00:00:00"/>
    <x v="3"/>
    <s v="Banglo 289 Breakfast"/>
    <x v="2"/>
    <s v="Breakfast"/>
    <x v="2"/>
    <n v="1"/>
    <n v="20"/>
    <n v="20"/>
    <s v="Non-Tax Relief Expenses"/>
  </r>
  <r>
    <d v="2023-12-26T00:00:00"/>
    <x v="3"/>
    <s v="Barbie"/>
    <x v="1"/>
    <s v="Movies"/>
    <x v="3"/>
    <n v="3"/>
    <n v="17"/>
    <n v="51"/>
    <s v="Non-Tax Relief Expenses"/>
  </r>
  <r>
    <d v="2023-06-10T00:00:00"/>
    <x v="2"/>
    <s v="BBQ Short Ribs"/>
    <x v="2"/>
    <s v="Dinner"/>
    <x v="4"/>
    <n v="1"/>
    <n v="129"/>
    <n v="129"/>
    <s v="Non-Tax Relief Expenses"/>
  </r>
  <r>
    <d v="2023-12-09T00:00:00"/>
    <x v="3"/>
    <s v="BBQ Short Ribs"/>
    <x v="2"/>
    <s v="Dinner"/>
    <x v="4"/>
    <n v="1"/>
    <n v="129"/>
    <n v="129"/>
    <s v="Non-Tax Relief Expenses"/>
  </r>
  <r>
    <d v="2023-06-22T00:00:00"/>
    <x v="2"/>
    <s v="Board Game "/>
    <x v="1"/>
    <s v="Gaming"/>
    <x v="5"/>
    <n v="1"/>
    <n v="30"/>
    <n v="30"/>
    <s v="Non-Tax Relief Expenses"/>
  </r>
  <r>
    <d v="2023-04-01T00:00:00"/>
    <x v="0"/>
    <s v="Boba Tea"/>
    <x v="2"/>
    <s v="Lunch"/>
    <x v="6"/>
    <n v="2"/>
    <n v="11.9"/>
    <n v="23.8"/>
    <s v="Non-Tax Relief Expenses"/>
  </r>
  <r>
    <d v="2023-05-13T00:00:00"/>
    <x v="4"/>
    <s v="Boba Tea"/>
    <x v="2"/>
    <s v="Lunch"/>
    <x v="6"/>
    <n v="2"/>
    <n v="11.9"/>
    <n v="23.8"/>
    <s v="Non-Tax Relief Expenses"/>
  </r>
  <r>
    <d v="2023-10-07T00:00:00"/>
    <x v="1"/>
    <s v="Boba Tea"/>
    <x v="2"/>
    <s v="Lunch"/>
    <x v="6"/>
    <n v="2"/>
    <n v="11.9"/>
    <n v="23.8"/>
    <s v="Non-Tax Relief Expenses"/>
  </r>
  <r>
    <d v="2023-11-11T00:00:00"/>
    <x v="5"/>
    <s v="Boba Tea"/>
    <x v="2"/>
    <s v="Lunch"/>
    <x v="6"/>
    <n v="2"/>
    <n v="11.9"/>
    <n v="23.8"/>
    <s v="Non-Tax Relief Expenses"/>
  </r>
  <r>
    <d v="2023-01-24T00:00:00"/>
    <x v="6"/>
    <s v="Bread"/>
    <x v="2"/>
    <s v="Lunch"/>
    <x v="7"/>
    <n v="3"/>
    <n v="3"/>
    <n v="9"/>
    <s v="Non-Tax Relief Expenses"/>
  </r>
  <r>
    <d v="2023-07-15T00:00:00"/>
    <x v="7"/>
    <s v="Bread"/>
    <x v="2"/>
    <s v="Lunch"/>
    <x v="7"/>
    <n v="3"/>
    <n v="3"/>
    <n v="9"/>
    <s v="Non-Tax Relief Expenses"/>
  </r>
  <r>
    <d v="2023-03-18T00:00:00"/>
    <x v="8"/>
    <s v="Buffet"/>
    <x v="2"/>
    <s v="Dinner"/>
    <x v="8"/>
    <n v="3"/>
    <n v="29.9"/>
    <n v="89.7"/>
    <s v="Non-Tax Relief Expenses"/>
  </r>
  <r>
    <d v="2023-09-16T00:00:00"/>
    <x v="9"/>
    <s v="Buffet"/>
    <x v="2"/>
    <s v="Dinner"/>
    <x v="8"/>
    <n v="3"/>
    <n v="29.9"/>
    <n v="89.7"/>
    <s v="Non-Tax Relief Expenses"/>
  </r>
  <r>
    <d v="2023-01-10T00:00:00"/>
    <x v="6"/>
    <s v="Burger"/>
    <x v="2"/>
    <s v="Breakfast"/>
    <x v="9"/>
    <n v="3"/>
    <n v="15"/>
    <n v="45"/>
    <s v="Non-Tax Relief Expenses"/>
  </r>
  <r>
    <d v="2023-02-18T00:00:00"/>
    <x v="10"/>
    <s v="Burger"/>
    <x v="2"/>
    <s v="Breakfast"/>
    <x v="10"/>
    <n v="1"/>
    <n v="16.5"/>
    <n v="16.5"/>
    <s v="Non-Tax Relief Expenses"/>
  </r>
  <r>
    <d v="2023-04-08T00:00:00"/>
    <x v="0"/>
    <s v="Burger"/>
    <x v="2"/>
    <s v="Dinner"/>
    <x v="11"/>
    <n v="3"/>
    <n v="5.5"/>
    <n v="16.5"/>
    <s v="Non-Tax Relief Expenses"/>
  </r>
  <r>
    <d v="2023-07-08T00:00:00"/>
    <x v="7"/>
    <s v="Burger"/>
    <x v="2"/>
    <s v="Breakfast"/>
    <x v="9"/>
    <n v="3"/>
    <n v="15"/>
    <n v="45"/>
    <s v="Non-Tax Relief Expenses"/>
  </r>
  <r>
    <d v="2023-08-19T00:00:00"/>
    <x v="11"/>
    <s v="Burger"/>
    <x v="2"/>
    <s v="Breakfast"/>
    <x v="10"/>
    <n v="1"/>
    <n v="16.5"/>
    <n v="16.5"/>
    <s v="Non-Tax Relief Expenses"/>
  </r>
  <r>
    <d v="2023-10-14T00:00:00"/>
    <x v="1"/>
    <s v="Burger"/>
    <x v="2"/>
    <s v="Dinner"/>
    <x v="11"/>
    <n v="3"/>
    <n v="5.5"/>
    <n v="16.5"/>
    <s v="Non-Tax Relief Expenses"/>
  </r>
  <r>
    <d v="2023-04-15T00:00:00"/>
    <x v="0"/>
    <s v="Cake"/>
    <x v="2"/>
    <s v="Lunch"/>
    <x v="12"/>
    <n v="3"/>
    <n v="9"/>
    <n v="27"/>
    <s v="Non-Tax Relief Expenses"/>
  </r>
  <r>
    <d v="2023-10-21T00:00:00"/>
    <x v="1"/>
    <s v="Cake"/>
    <x v="2"/>
    <s v="Lunch"/>
    <x v="12"/>
    <n v="3"/>
    <n v="9"/>
    <n v="27"/>
    <s v="Non-Tax Relief Expenses"/>
  </r>
  <r>
    <d v="2023-01-20T00:00:00"/>
    <x v="6"/>
    <s v="Car Loan"/>
    <x v="3"/>
    <s v="Loan"/>
    <x v="13"/>
    <n v="1"/>
    <n v="1200"/>
    <n v="1200"/>
    <s v="Non-Tax Relief Expenses"/>
  </r>
  <r>
    <d v="2023-02-20T00:00:00"/>
    <x v="10"/>
    <s v="Car Loan"/>
    <x v="3"/>
    <s v="Loan"/>
    <x v="13"/>
    <n v="1"/>
    <n v="1200"/>
    <n v="1200"/>
    <s v="Non-Tax Relief Expenses"/>
  </r>
  <r>
    <d v="2023-03-20T00:00:00"/>
    <x v="8"/>
    <s v="Car Loan"/>
    <x v="3"/>
    <s v="Loan"/>
    <x v="13"/>
    <n v="1"/>
    <n v="1200"/>
    <n v="1200"/>
    <s v="Non-Tax Relief Expenses"/>
  </r>
  <r>
    <d v="2023-04-20T00:00:00"/>
    <x v="0"/>
    <s v="Car Loan"/>
    <x v="3"/>
    <s v="Loan"/>
    <x v="13"/>
    <n v="1"/>
    <n v="1200"/>
    <n v="1200"/>
    <s v="Non-Tax Relief Expenses"/>
  </r>
  <r>
    <d v="2023-05-20T00:00:00"/>
    <x v="4"/>
    <s v="Car Loan"/>
    <x v="3"/>
    <s v="Loan"/>
    <x v="13"/>
    <n v="1"/>
    <n v="1200"/>
    <n v="1200"/>
    <s v="Non-Tax Relief Expenses"/>
  </r>
  <r>
    <d v="2023-06-20T00:00:00"/>
    <x v="2"/>
    <s v="Car Loan"/>
    <x v="3"/>
    <s v="Loan"/>
    <x v="13"/>
    <n v="1"/>
    <n v="1200"/>
    <n v="1200"/>
    <s v="Non-Tax Relief Expenses"/>
  </r>
  <r>
    <d v="2023-07-20T00:00:00"/>
    <x v="7"/>
    <s v="Car Loan"/>
    <x v="3"/>
    <s v="Loan"/>
    <x v="13"/>
    <n v="1"/>
    <n v="1200"/>
    <n v="1200"/>
    <s v="Non-Tax Relief Expenses"/>
  </r>
  <r>
    <d v="2023-08-20T00:00:00"/>
    <x v="11"/>
    <s v="Car Loan"/>
    <x v="3"/>
    <s v="Loan"/>
    <x v="13"/>
    <n v="1"/>
    <n v="1200"/>
    <n v="1200"/>
    <s v="Non-Tax Relief Expenses"/>
  </r>
  <r>
    <d v="2023-09-20T00:00:00"/>
    <x v="9"/>
    <s v="Car Loan"/>
    <x v="3"/>
    <s v="Loan"/>
    <x v="13"/>
    <n v="1"/>
    <n v="1200"/>
    <n v="1200"/>
    <s v="Non-Tax Relief Expenses"/>
  </r>
  <r>
    <d v="2023-10-20T00:00:00"/>
    <x v="1"/>
    <s v="Car Loan"/>
    <x v="3"/>
    <s v="Loan"/>
    <x v="13"/>
    <n v="1"/>
    <n v="1200"/>
    <n v="1200"/>
    <s v="Non-Tax Relief Expenses"/>
  </r>
  <r>
    <d v="2023-11-20T00:00:00"/>
    <x v="5"/>
    <s v="Car Loan"/>
    <x v="3"/>
    <s v="Loan"/>
    <x v="13"/>
    <n v="1"/>
    <n v="1200"/>
    <n v="1200"/>
    <s v="Non-Tax Relief Expenses"/>
  </r>
  <r>
    <d v="2023-12-20T00:00:00"/>
    <x v="3"/>
    <s v="Car Loan"/>
    <x v="3"/>
    <s v="Loan"/>
    <x v="13"/>
    <n v="1"/>
    <n v="1200"/>
    <n v="1200"/>
    <s v="Non-Tax Relief Expenses"/>
  </r>
  <r>
    <d v="2023-02-04T00:00:00"/>
    <x v="10"/>
    <s v="Char Kuey Teow"/>
    <x v="2"/>
    <s v="Breakfast"/>
    <x v="14"/>
    <n v="2"/>
    <n v="6"/>
    <n v="12"/>
    <s v="Non-Tax Relief Expenses"/>
  </r>
  <r>
    <d v="2023-04-08T00:00:00"/>
    <x v="0"/>
    <s v="Char Kuey Teow"/>
    <x v="2"/>
    <s v="Breakfast"/>
    <x v="14"/>
    <n v="2"/>
    <n v="6"/>
    <n v="12"/>
    <s v="Non-Tax Relief Expenses"/>
  </r>
  <r>
    <d v="2023-08-05T00:00:00"/>
    <x v="11"/>
    <s v="Char Kuey Teow"/>
    <x v="2"/>
    <s v="Breakfast"/>
    <x v="14"/>
    <n v="2"/>
    <n v="6"/>
    <n v="12"/>
    <s v="Non-Tax Relief Expenses"/>
  </r>
  <r>
    <d v="2023-10-14T00:00:00"/>
    <x v="1"/>
    <s v="Char Kuey Teow"/>
    <x v="2"/>
    <s v="Breakfast"/>
    <x v="14"/>
    <n v="2"/>
    <n v="6"/>
    <n v="12"/>
    <s v="Non-Tax Relief Expenses"/>
  </r>
  <r>
    <d v="2023-01-10T00:00:00"/>
    <x v="6"/>
    <s v="Chee Cheong Fun"/>
    <x v="2"/>
    <s v="Lunch"/>
    <x v="15"/>
    <n v="3"/>
    <n v="6"/>
    <n v="18"/>
    <s v="Non-Tax Relief Expenses"/>
  </r>
  <r>
    <d v="2023-05-13T00:00:00"/>
    <x v="4"/>
    <s v="Chee Cheong Fun"/>
    <x v="2"/>
    <s v="Breakfast"/>
    <x v="15"/>
    <n v="2"/>
    <n v="6"/>
    <n v="12"/>
    <s v="Non-Tax Relief Expenses"/>
  </r>
  <r>
    <d v="2023-07-08T00:00:00"/>
    <x v="7"/>
    <s v="Chee Cheong Fun"/>
    <x v="2"/>
    <s v="Lunch"/>
    <x v="15"/>
    <n v="3"/>
    <n v="6"/>
    <n v="18"/>
    <s v="Non-Tax Relief Expenses"/>
  </r>
  <r>
    <d v="2023-11-11T00:00:00"/>
    <x v="5"/>
    <s v="Chee Cheong Fun"/>
    <x v="2"/>
    <s v="Breakfast"/>
    <x v="15"/>
    <n v="2"/>
    <n v="6"/>
    <n v="12"/>
    <s v="Non-Tax Relief Expenses"/>
  </r>
  <r>
    <d v="2023-03-11T00:00:00"/>
    <x v="8"/>
    <s v="Chicken Chop"/>
    <x v="2"/>
    <s v="Dinner"/>
    <x v="16"/>
    <n v="3"/>
    <n v="10"/>
    <n v="30"/>
    <s v="Non-Tax Relief Expenses"/>
  </r>
  <r>
    <d v="2023-09-09T00:00:00"/>
    <x v="9"/>
    <s v="Chicken Chop"/>
    <x v="2"/>
    <s v="Dinner"/>
    <x v="16"/>
    <n v="3"/>
    <n v="10"/>
    <n v="30"/>
    <s v="Non-Tax Relief Expenses"/>
  </r>
  <r>
    <d v="2023-01-24T00:00:00"/>
    <x v="6"/>
    <s v="Chicken Rice"/>
    <x v="2"/>
    <s v="Breakfast"/>
    <x v="17"/>
    <n v="1"/>
    <n v="6.5"/>
    <n v="6.5"/>
    <s v="Non-Tax Relief Expenses"/>
  </r>
  <r>
    <d v="2023-07-15T00:00:00"/>
    <x v="7"/>
    <s v="Chicken Rice"/>
    <x v="2"/>
    <s v="Breakfast"/>
    <x v="17"/>
    <n v="1"/>
    <n v="6.5"/>
    <n v="6.5"/>
    <s v="Non-Tax Relief Expenses"/>
  </r>
  <r>
    <d v="2023-01-08T00:00:00"/>
    <x v="6"/>
    <s v="Childcare Fee"/>
    <x v="4"/>
    <s v="Childcare"/>
    <x v="18"/>
    <n v="1"/>
    <n v="600"/>
    <n v="600"/>
    <s v="Kindergarten (6yo and below)"/>
  </r>
  <r>
    <d v="2023-02-08T00:00:00"/>
    <x v="10"/>
    <s v="Childcare Fee"/>
    <x v="4"/>
    <s v="Childcare"/>
    <x v="18"/>
    <n v="1"/>
    <n v="600"/>
    <n v="600"/>
    <s v="Kindergarten (6yo and below)"/>
  </r>
  <r>
    <d v="2023-03-08T00:00:00"/>
    <x v="8"/>
    <s v="Childcare Fee"/>
    <x v="4"/>
    <s v="Childcare"/>
    <x v="18"/>
    <n v="1"/>
    <n v="600"/>
    <n v="600"/>
    <s v="Kindergarten (6yo and below)"/>
  </r>
  <r>
    <d v="2023-04-08T00:00:00"/>
    <x v="0"/>
    <s v="Childcare Fee"/>
    <x v="4"/>
    <s v="Childcare"/>
    <x v="18"/>
    <n v="1"/>
    <n v="600"/>
    <n v="600"/>
    <s v="Kindergarten (6yo and below)"/>
  </r>
  <r>
    <d v="2023-05-08T00:00:00"/>
    <x v="4"/>
    <s v="Childcare Fee"/>
    <x v="4"/>
    <s v="Childcare"/>
    <x v="18"/>
    <n v="1"/>
    <n v="600"/>
    <n v="600"/>
    <s v="Kindergarten (6yo and below)"/>
  </r>
  <r>
    <d v="2023-06-08T00:00:00"/>
    <x v="2"/>
    <s v="Childcare Fee"/>
    <x v="4"/>
    <s v="Childcare"/>
    <x v="18"/>
    <n v="1"/>
    <n v="600"/>
    <n v="600"/>
    <s v="Kindergarten (6yo and below)"/>
  </r>
  <r>
    <d v="2023-07-08T00:00:00"/>
    <x v="7"/>
    <s v="Childcare Fee"/>
    <x v="4"/>
    <s v="Childcare"/>
    <x v="18"/>
    <n v="1"/>
    <n v="600"/>
    <n v="600"/>
    <s v="Kindergarten (6yo and below)"/>
  </r>
  <r>
    <d v="2023-08-08T00:00:00"/>
    <x v="11"/>
    <s v="Childcare Fee"/>
    <x v="4"/>
    <s v="Childcare"/>
    <x v="18"/>
    <n v="1"/>
    <n v="600"/>
    <n v="600"/>
    <s v="Kindergarten (6yo and below)"/>
  </r>
  <r>
    <d v="2023-09-08T00:00:00"/>
    <x v="9"/>
    <s v="Childcare Fee"/>
    <x v="4"/>
    <s v="Childcare"/>
    <x v="18"/>
    <n v="1"/>
    <n v="600"/>
    <n v="600"/>
    <s v="Kindergarten (6yo and below)"/>
  </r>
  <r>
    <d v="2023-10-08T00:00:00"/>
    <x v="1"/>
    <s v="Childcare Fee"/>
    <x v="4"/>
    <s v="Childcare"/>
    <x v="18"/>
    <n v="1"/>
    <n v="600"/>
    <n v="600"/>
    <s v="Kindergarten (6yo and below)"/>
  </r>
  <r>
    <d v="2023-11-08T00:00:00"/>
    <x v="5"/>
    <s v="Childcare Fee"/>
    <x v="4"/>
    <s v="Childcare"/>
    <x v="18"/>
    <n v="1"/>
    <n v="600"/>
    <n v="600"/>
    <s v="Kindergarten (6yo and below)"/>
  </r>
  <r>
    <d v="2023-12-08T00:00:00"/>
    <x v="3"/>
    <s v="Childcare Fee"/>
    <x v="4"/>
    <s v="Childcare"/>
    <x v="18"/>
    <n v="1"/>
    <n v="600"/>
    <n v="600"/>
    <s v="Kindergarten (6yo and below)"/>
  </r>
  <r>
    <d v="2023-01-02T00:00:00"/>
    <x v="6"/>
    <s v="Chinese cuisine"/>
    <x v="2"/>
    <s v="Dinner"/>
    <x v="19"/>
    <n v="1"/>
    <n v="70"/>
    <n v="70"/>
    <s v="Non-Tax Relief Expenses"/>
  </r>
  <r>
    <d v="2023-07-01T00:00:00"/>
    <x v="7"/>
    <s v="Chinese cuisine"/>
    <x v="2"/>
    <s v="Dinner"/>
    <x v="19"/>
    <n v="1"/>
    <n v="70"/>
    <n v="70"/>
    <s v="Non-Tax Relief Expenses"/>
  </r>
  <r>
    <d v="2023-06-03T00:00:00"/>
    <x v="2"/>
    <s v="Coffee"/>
    <x v="2"/>
    <s v="Lunch"/>
    <x v="20"/>
    <n v="2"/>
    <n v="16"/>
    <n v="32"/>
    <s v="Non-Tax Relief Expenses"/>
  </r>
  <r>
    <d v="2023-12-02T00:00:00"/>
    <x v="3"/>
    <s v="Coffee"/>
    <x v="2"/>
    <s v="Lunch"/>
    <x v="20"/>
    <n v="2"/>
    <n v="16"/>
    <n v="32"/>
    <s v="Non-Tax Relief Expenses"/>
  </r>
  <r>
    <d v="2023-06-08T00:00:00"/>
    <x v="2"/>
    <s v="Comedy Show Tickets"/>
    <x v="1"/>
    <s v="Comedy"/>
    <x v="21"/>
    <n v="3"/>
    <n v="60"/>
    <n v="180"/>
    <s v="Non-Tax Relief Expenses"/>
  </r>
  <r>
    <d v="2023-11-23T00:00:00"/>
    <x v="5"/>
    <s v="Comedy Show Tickets"/>
    <x v="1"/>
    <s v="Comedy"/>
    <x v="22"/>
    <n v="3"/>
    <n v="60"/>
    <n v="180"/>
    <s v="Non-Tax Relief Expenses"/>
  </r>
  <r>
    <d v="2023-08-21T00:00:00"/>
    <x v="11"/>
    <s v="Comic Fiesta Saturday Pass"/>
    <x v="1"/>
    <s v="Event"/>
    <x v="23"/>
    <n v="3"/>
    <n v="50"/>
    <n v="150"/>
    <s v="Non-Tax Relief Expenses"/>
  </r>
  <r>
    <d v="2023-01-23T00:00:00"/>
    <x v="6"/>
    <s v="Concert Tickets"/>
    <x v="1"/>
    <s v="Concert"/>
    <x v="24"/>
    <n v="2"/>
    <n v="200"/>
    <n v="400"/>
    <s v="Non-Tax Relief Expenses"/>
  </r>
  <r>
    <d v="2023-05-06T00:00:00"/>
    <x v="4"/>
    <s v="Curry Noodle"/>
    <x v="2"/>
    <s v="Lunch"/>
    <x v="25"/>
    <n v="3"/>
    <n v="7"/>
    <n v="21"/>
    <s v="Non-Tax Relief Expenses"/>
  </r>
  <r>
    <d v="2023-06-17T00:00:00"/>
    <x v="2"/>
    <s v="Curry Noodle"/>
    <x v="2"/>
    <s v="Breakfast"/>
    <x v="25"/>
    <n v="3"/>
    <n v="7"/>
    <n v="21"/>
    <s v="Non-Tax Relief Expenses"/>
  </r>
  <r>
    <d v="2023-11-04T00:00:00"/>
    <x v="5"/>
    <s v="Curry Noodle"/>
    <x v="2"/>
    <s v="Lunch"/>
    <x v="25"/>
    <n v="3"/>
    <n v="7"/>
    <n v="21"/>
    <s v="Non-Tax Relief Expenses"/>
  </r>
  <r>
    <d v="2023-12-16T00:00:00"/>
    <x v="3"/>
    <s v="Curry Noodle"/>
    <x v="2"/>
    <s v="Breakfast"/>
    <x v="25"/>
    <n v="3"/>
    <n v="7"/>
    <n v="21"/>
    <s v="Non-Tax Relief Expenses"/>
  </r>
  <r>
    <d v="2023-12-20T00:00:00"/>
    <x v="3"/>
    <s v="Dental Checkup"/>
    <x v="0"/>
    <s v="Examination"/>
    <x v="0"/>
    <n v="1"/>
    <n v="100"/>
    <n v="100"/>
    <s v="Non-Tax Relief Expenses"/>
  </r>
  <r>
    <d v="2023-03-04T00:00:00"/>
    <x v="8"/>
    <s v="Dim Sum"/>
    <x v="2"/>
    <s v="Breakfast"/>
    <x v="26"/>
    <n v="1"/>
    <n v="60"/>
    <n v="60"/>
    <s v="Non-Tax Relief Expenses"/>
  </r>
  <r>
    <d v="2023-05-06T00:00:00"/>
    <x v="4"/>
    <s v="Dim Sum"/>
    <x v="2"/>
    <s v="Breakfast"/>
    <x v="26"/>
    <n v="1"/>
    <n v="60"/>
    <n v="60"/>
    <s v="Non-Tax Relief Expenses"/>
  </r>
  <r>
    <d v="2023-09-02T00:00:00"/>
    <x v="9"/>
    <s v="Dim Sum"/>
    <x v="2"/>
    <s v="Breakfast"/>
    <x v="26"/>
    <n v="1"/>
    <n v="60"/>
    <n v="60"/>
    <s v="Non-Tax Relief Expenses"/>
  </r>
  <r>
    <d v="2023-11-04T00:00:00"/>
    <x v="5"/>
    <s v="Dim Sum"/>
    <x v="2"/>
    <s v="Breakfast"/>
    <x v="26"/>
    <n v="1"/>
    <n v="60"/>
    <n v="60"/>
    <s v="Non-Tax Relief Expenses"/>
  </r>
  <r>
    <d v="2023-02-11T00:00:00"/>
    <x v="10"/>
    <s v="Economy Rice"/>
    <x v="2"/>
    <s v="Lunch"/>
    <x v="27"/>
    <n v="2"/>
    <n v="6"/>
    <n v="12"/>
    <s v="Non-Tax Relief Expenses"/>
  </r>
  <r>
    <d v="2023-04-01T00:00:00"/>
    <x v="0"/>
    <s v="Economy Rice"/>
    <x v="2"/>
    <s v="Lunch"/>
    <x v="27"/>
    <n v="3"/>
    <n v="5"/>
    <n v="15"/>
    <s v="Non-Tax Relief Expenses"/>
  </r>
  <r>
    <d v="2023-06-17T00:00:00"/>
    <x v="2"/>
    <s v="Economy Rice"/>
    <x v="2"/>
    <s v="Lunch"/>
    <x v="27"/>
    <n v="3"/>
    <n v="6"/>
    <n v="18"/>
    <s v="Non-Tax Relief Expenses"/>
  </r>
  <r>
    <d v="2023-08-12T00:00:00"/>
    <x v="11"/>
    <s v="Economy Rice"/>
    <x v="2"/>
    <s v="Lunch"/>
    <x v="27"/>
    <n v="2"/>
    <n v="6"/>
    <n v="12"/>
    <s v="Non-Tax Relief Expenses"/>
  </r>
  <r>
    <d v="2023-10-07T00:00:00"/>
    <x v="1"/>
    <s v="Economy Rice"/>
    <x v="2"/>
    <s v="Lunch"/>
    <x v="27"/>
    <n v="3"/>
    <n v="5"/>
    <n v="15"/>
    <s v="Non-Tax Relief Expenses"/>
  </r>
  <r>
    <d v="2023-12-16T00:00:00"/>
    <x v="3"/>
    <s v="Economy Rice"/>
    <x v="2"/>
    <s v="Lunch"/>
    <x v="27"/>
    <n v="3"/>
    <n v="6"/>
    <n v="18"/>
    <s v="Non-Tax Relief Expenses"/>
  </r>
  <r>
    <d v="2023-01-18T00:00:00"/>
    <x v="6"/>
    <s v="Educational Insurance"/>
    <x v="5"/>
    <s v="Education"/>
    <x v="28"/>
    <n v="1"/>
    <n v="600"/>
    <n v="600"/>
    <s v="Education and medical insurance"/>
  </r>
  <r>
    <d v="2023-07-19T00:00:00"/>
    <x v="7"/>
    <s v="Educational Insurance"/>
    <x v="5"/>
    <s v="Education"/>
    <x v="28"/>
    <n v="1"/>
    <n v="600"/>
    <n v="600"/>
    <s v="Education and medical insurance"/>
  </r>
  <r>
    <d v="2023-02-11T00:00:00"/>
    <x v="10"/>
    <s v="Egg Tart"/>
    <x v="2"/>
    <s v="Breakfast"/>
    <x v="29"/>
    <n v="3"/>
    <n v="4"/>
    <n v="12"/>
    <s v="Non-Tax Relief Expenses"/>
  </r>
  <r>
    <d v="2023-08-12T00:00:00"/>
    <x v="11"/>
    <s v="Egg Tart"/>
    <x v="2"/>
    <s v="Breakfast"/>
    <x v="29"/>
    <n v="3"/>
    <n v="4"/>
    <n v="12"/>
    <s v="Non-Tax Relief Expenses"/>
  </r>
  <r>
    <d v="2023-01-25T00:00:00"/>
    <x v="6"/>
    <s v="Electric Bill"/>
    <x v="6"/>
    <s v="Electric "/>
    <x v="30"/>
    <n v="1"/>
    <n v="84.5"/>
    <n v="84.5"/>
    <s v="Non-Tax Relief Expenses"/>
  </r>
  <r>
    <d v="2023-02-25T00:00:00"/>
    <x v="10"/>
    <s v="Electric Bill"/>
    <x v="6"/>
    <s v="Electric "/>
    <x v="30"/>
    <n v="1"/>
    <n v="80"/>
    <n v="80"/>
    <s v="Non-Tax Relief Expenses"/>
  </r>
  <r>
    <d v="2023-03-25T00:00:00"/>
    <x v="8"/>
    <s v="Electric Bill"/>
    <x v="6"/>
    <s v="Electric "/>
    <x v="30"/>
    <n v="1"/>
    <n v="85"/>
    <n v="85"/>
    <s v="Non-Tax Relief Expenses"/>
  </r>
  <r>
    <d v="2023-04-25T00:00:00"/>
    <x v="0"/>
    <s v="Electric Bill"/>
    <x v="6"/>
    <s v="Electric "/>
    <x v="30"/>
    <n v="1"/>
    <n v="84"/>
    <n v="84"/>
    <s v="Non-Tax Relief Expenses"/>
  </r>
  <r>
    <d v="2023-05-25T00:00:00"/>
    <x v="4"/>
    <s v="Electric Bill"/>
    <x v="6"/>
    <s v="Electric "/>
    <x v="30"/>
    <n v="1"/>
    <n v="90"/>
    <n v="90"/>
    <s v="Non-Tax Relief Expenses"/>
  </r>
  <r>
    <d v="2023-06-25T00:00:00"/>
    <x v="2"/>
    <s v="Electric Bill"/>
    <x v="6"/>
    <s v="Electric "/>
    <x v="30"/>
    <n v="1"/>
    <n v="70"/>
    <n v="70"/>
    <s v="Non-Tax Relief Expenses"/>
  </r>
  <r>
    <d v="2023-07-25T00:00:00"/>
    <x v="7"/>
    <s v="Electric Bill"/>
    <x v="6"/>
    <s v="Electric "/>
    <x v="30"/>
    <n v="1"/>
    <n v="75"/>
    <n v="75"/>
    <s v="Non-Tax Relief Expenses"/>
  </r>
  <r>
    <d v="2023-08-25T00:00:00"/>
    <x v="11"/>
    <s v="Electric Bill"/>
    <x v="6"/>
    <s v="Electric "/>
    <x v="30"/>
    <n v="1"/>
    <n v="80"/>
    <n v="80"/>
    <s v="Non-Tax Relief Expenses"/>
  </r>
  <r>
    <d v="2023-09-25T00:00:00"/>
    <x v="9"/>
    <s v="Electric Bill"/>
    <x v="6"/>
    <s v="Electric "/>
    <x v="30"/>
    <n v="1"/>
    <n v="84.5"/>
    <n v="84.5"/>
    <s v="Non-Tax Relief Expenses"/>
  </r>
  <r>
    <d v="2023-10-25T00:00:00"/>
    <x v="1"/>
    <s v="Electric Bill"/>
    <x v="6"/>
    <s v="Electric "/>
    <x v="30"/>
    <n v="1"/>
    <n v="85"/>
    <n v="85"/>
    <s v="Non-Tax Relief Expenses"/>
  </r>
  <r>
    <d v="2023-11-25T00:00:00"/>
    <x v="5"/>
    <s v="Electric Bill"/>
    <x v="6"/>
    <s v="Electric "/>
    <x v="30"/>
    <n v="1"/>
    <n v="84.5"/>
    <n v="84.5"/>
    <s v="Non-Tax Relief Expenses"/>
  </r>
  <r>
    <d v="2023-12-25T00:00:00"/>
    <x v="3"/>
    <s v="Electric Bill"/>
    <x v="6"/>
    <s v="Electric "/>
    <x v="30"/>
    <n v="1"/>
    <n v="90"/>
    <n v="90"/>
    <s v="Non-Tax Relief Expenses"/>
  </r>
  <r>
    <d v="2023-03-04T00:00:00"/>
    <x v="8"/>
    <s v="Endgame"/>
    <x v="1"/>
    <s v="Movies"/>
    <x v="3"/>
    <n v="2"/>
    <n v="17"/>
    <n v="34"/>
    <s v="Non-Tax Relief Expenses"/>
  </r>
  <r>
    <d v="2023-01-10T00:00:00"/>
    <x v="6"/>
    <s v="EPF Contribution"/>
    <x v="7"/>
    <s v="Retirement"/>
    <x v="31"/>
    <n v="1"/>
    <n v="1100"/>
    <n v="1100"/>
    <s v="EPF"/>
  </r>
  <r>
    <d v="2023-02-10T00:00:00"/>
    <x v="10"/>
    <s v="EPF Contribution"/>
    <x v="7"/>
    <s v="Retirement"/>
    <x v="31"/>
    <n v="1"/>
    <n v="1100"/>
    <n v="1100"/>
    <s v="EPF"/>
  </r>
  <r>
    <d v="2023-03-10T00:00:00"/>
    <x v="8"/>
    <s v="EPF Contribution"/>
    <x v="7"/>
    <s v="Retirement"/>
    <x v="31"/>
    <n v="1"/>
    <n v="1100"/>
    <n v="1100"/>
    <s v="EPF"/>
  </r>
  <r>
    <d v="2023-04-10T00:00:00"/>
    <x v="0"/>
    <s v="EPF Contribution"/>
    <x v="7"/>
    <s v="Retirement"/>
    <x v="31"/>
    <n v="1"/>
    <n v="1100"/>
    <n v="1100"/>
    <s v="EPF"/>
  </r>
  <r>
    <d v="2023-05-10T00:00:00"/>
    <x v="4"/>
    <s v="EPF Contribution"/>
    <x v="7"/>
    <s v="Retirement"/>
    <x v="31"/>
    <n v="1"/>
    <n v="1100"/>
    <n v="1100"/>
    <s v="EPF"/>
  </r>
  <r>
    <d v="2023-06-10T00:00:00"/>
    <x v="2"/>
    <s v="EPF Contribution"/>
    <x v="7"/>
    <s v="Retirement"/>
    <x v="31"/>
    <n v="1"/>
    <n v="1100"/>
    <n v="1100"/>
    <s v="EPF"/>
  </r>
  <r>
    <d v="2023-07-10T00:00:00"/>
    <x v="7"/>
    <s v="EPF Contribution"/>
    <x v="7"/>
    <s v="Retirement"/>
    <x v="31"/>
    <n v="1"/>
    <n v="1100"/>
    <n v="1100"/>
    <s v="EPF"/>
  </r>
  <r>
    <d v="2023-08-10T00:00:00"/>
    <x v="11"/>
    <s v="EPF Contribution"/>
    <x v="7"/>
    <s v="Retirement"/>
    <x v="31"/>
    <n v="1"/>
    <n v="1100"/>
    <n v="1100"/>
    <s v="EPF"/>
  </r>
  <r>
    <d v="2023-09-10T00:00:00"/>
    <x v="9"/>
    <s v="EPF Contribution"/>
    <x v="7"/>
    <s v="Retirement"/>
    <x v="31"/>
    <n v="1"/>
    <n v="1100"/>
    <n v="1100"/>
    <s v="EPF"/>
  </r>
  <r>
    <d v="2023-10-10T00:00:00"/>
    <x v="1"/>
    <s v="EPF Contribution"/>
    <x v="7"/>
    <s v="Retirement"/>
    <x v="31"/>
    <n v="1"/>
    <n v="1100"/>
    <n v="1100"/>
    <s v="EPF"/>
  </r>
  <r>
    <d v="2023-11-10T00:00:00"/>
    <x v="5"/>
    <s v="EPF Contribution"/>
    <x v="7"/>
    <s v="Retirement"/>
    <x v="31"/>
    <n v="1"/>
    <n v="1100"/>
    <n v="1100"/>
    <s v="EPF"/>
  </r>
  <r>
    <d v="2023-12-10T00:00:00"/>
    <x v="3"/>
    <s v="EPF Contribution"/>
    <x v="7"/>
    <s v="Retirement"/>
    <x v="31"/>
    <n v="1"/>
    <n v="1100"/>
    <n v="1100"/>
    <s v="EPF"/>
  </r>
  <r>
    <d v="2023-07-28T00:00:00"/>
    <x v="7"/>
    <s v="Escape Room"/>
    <x v="1"/>
    <s v="Adventure"/>
    <x v="32"/>
    <n v="2"/>
    <n v="64.5"/>
    <n v="129"/>
    <s v="Non-Tax Relief Expenses"/>
  </r>
  <r>
    <d v="2023-01-01T00:00:00"/>
    <x v="6"/>
    <s v="Fried Chicken"/>
    <x v="2"/>
    <s v="Breakfast"/>
    <x v="33"/>
    <n v="1"/>
    <n v="9.9"/>
    <n v="9.9"/>
    <s v="Non-Tax Relief Expenses"/>
  </r>
  <r>
    <d v="2023-07-01T00:00:00"/>
    <x v="7"/>
    <s v="Fried Chicken"/>
    <x v="2"/>
    <s v="Breakfast"/>
    <x v="33"/>
    <n v="1"/>
    <n v="9.9"/>
    <n v="9.9"/>
    <s v="Non-Tax Relief Expenses"/>
  </r>
  <r>
    <d v="2023-03-18T00:00:00"/>
    <x v="8"/>
    <s v="Fried Rice"/>
    <x v="2"/>
    <s v="Lunch"/>
    <x v="34"/>
    <n v="3"/>
    <n v="7"/>
    <n v="21"/>
    <s v="Non-Tax Relief Expenses"/>
  </r>
  <r>
    <d v="2023-09-16T00:00:00"/>
    <x v="9"/>
    <s v="Fried Rice"/>
    <x v="2"/>
    <s v="Lunch"/>
    <x v="34"/>
    <n v="3"/>
    <n v="7"/>
    <n v="21"/>
    <s v="Non-Tax Relief Expenses"/>
  </r>
  <r>
    <d v="2023-02-06T00:00:00"/>
    <x v="10"/>
    <s v="Frozen"/>
    <x v="1"/>
    <s v="Movies"/>
    <x v="3"/>
    <n v="3"/>
    <n v="17"/>
    <n v="51"/>
    <s v="Non-Tax Relief Expenses"/>
  </r>
  <r>
    <d v="2023-12-12T00:00:00"/>
    <x v="3"/>
    <s v="Gaming Chair Purchase"/>
    <x v="1"/>
    <s v="Gaming"/>
    <x v="35"/>
    <n v="1"/>
    <n v="1000"/>
    <n v="1000"/>
    <s v="Non-Tax Relief Expenses"/>
  </r>
  <r>
    <d v="2023-09-06T00:00:00"/>
    <x v="9"/>
    <s v="Gaming Expo Pass"/>
    <x v="1"/>
    <s v="Event"/>
    <x v="36"/>
    <n v="1"/>
    <n v="45"/>
    <n v="45"/>
    <s v="Non-Tax Relief Expenses"/>
  </r>
  <r>
    <d v="2023-05-21T00:00:00"/>
    <x v="4"/>
    <s v="Gaming Mouse"/>
    <x v="8"/>
    <s v="Gaming"/>
    <x v="37"/>
    <n v="1"/>
    <n v="100"/>
    <n v="100"/>
    <s v="Non-Tax Relief Expenses"/>
  </r>
  <r>
    <d v="2023-01-01T00:00:00"/>
    <x v="6"/>
    <s v="Grocery Shopping "/>
    <x v="2"/>
    <s v="Grocery"/>
    <x v="7"/>
    <n v="1"/>
    <n v="790"/>
    <n v="790"/>
    <s v="Non-Tax Relief Expenses"/>
  </r>
  <r>
    <d v="2023-01-15T00:00:00"/>
    <x v="6"/>
    <s v="Grocery Shopping "/>
    <x v="2"/>
    <s v="Grocery"/>
    <x v="7"/>
    <n v="1"/>
    <n v="755"/>
    <n v="755"/>
    <s v="Non-Tax Relief Expenses"/>
  </r>
  <r>
    <d v="2023-02-01T00:00:00"/>
    <x v="10"/>
    <s v="Grocery Shopping "/>
    <x v="2"/>
    <s v="Grocery"/>
    <x v="7"/>
    <n v="1"/>
    <n v="778"/>
    <n v="778"/>
    <s v="Non-Tax Relief Expenses"/>
  </r>
  <r>
    <d v="2023-02-15T00:00:00"/>
    <x v="10"/>
    <s v="Grocery Shopping "/>
    <x v="2"/>
    <s v="Grocery"/>
    <x v="7"/>
    <n v="1"/>
    <n v="750"/>
    <n v="750"/>
    <s v="Non-Tax Relief Expenses"/>
  </r>
  <r>
    <d v="2023-03-01T00:00:00"/>
    <x v="8"/>
    <s v="Grocery Shopping "/>
    <x v="2"/>
    <s v="Grocery"/>
    <x v="7"/>
    <n v="1"/>
    <n v="730"/>
    <n v="730"/>
    <s v="Non-Tax Relief Expenses"/>
  </r>
  <r>
    <d v="2023-03-15T00:00:00"/>
    <x v="8"/>
    <s v="Grocery Shopping "/>
    <x v="2"/>
    <s v="Grocery"/>
    <x v="7"/>
    <n v="1"/>
    <n v="750"/>
    <n v="750"/>
    <s v="Non-Tax Relief Expenses"/>
  </r>
  <r>
    <d v="2023-04-01T00:00:00"/>
    <x v="0"/>
    <s v="Grocery Shopping "/>
    <x v="2"/>
    <s v="Grocery"/>
    <x v="7"/>
    <n v="1"/>
    <n v="800"/>
    <n v="800"/>
    <s v="Non-Tax Relief Expenses"/>
  </r>
  <r>
    <d v="2023-04-15T00:00:00"/>
    <x v="0"/>
    <s v="Grocery Shopping "/>
    <x v="2"/>
    <s v="Grocery"/>
    <x v="7"/>
    <n v="1"/>
    <n v="769"/>
    <n v="769"/>
    <s v="Non-Tax Relief Expenses"/>
  </r>
  <r>
    <d v="2023-05-01T00:00:00"/>
    <x v="4"/>
    <s v="Grocery Shopping "/>
    <x v="2"/>
    <s v="Grocery"/>
    <x v="7"/>
    <n v="1"/>
    <n v="804"/>
    <n v="804"/>
    <s v="Non-Tax Relief Expenses"/>
  </r>
  <r>
    <d v="2023-05-15T00:00:00"/>
    <x v="4"/>
    <s v="Grocery Shopping "/>
    <x v="2"/>
    <s v="Grocery"/>
    <x v="7"/>
    <n v="1"/>
    <n v="788"/>
    <n v="788"/>
    <s v="Non-Tax Relief Expenses"/>
  </r>
  <r>
    <d v="2023-06-01T00:00:00"/>
    <x v="2"/>
    <s v="Grocery Shopping "/>
    <x v="2"/>
    <s v="Grocery"/>
    <x v="7"/>
    <n v="1"/>
    <n v="730"/>
    <n v="730"/>
    <s v="Non-Tax Relief Expenses"/>
  </r>
  <r>
    <d v="2023-06-15T00:00:00"/>
    <x v="2"/>
    <s v="Grocery Shopping "/>
    <x v="2"/>
    <s v="Grocery"/>
    <x v="7"/>
    <n v="1"/>
    <n v="810"/>
    <n v="810"/>
    <s v="Non-Tax Relief Expenses"/>
  </r>
  <r>
    <d v="2023-07-01T00:00:00"/>
    <x v="7"/>
    <s v="Grocery Shopping "/>
    <x v="2"/>
    <s v="Grocery"/>
    <x v="7"/>
    <n v="1"/>
    <n v="790"/>
    <n v="790"/>
    <s v="Non-Tax Relief Expenses"/>
  </r>
  <r>
    <d v="2023-07-15T00:00:00"/>
    <x v="7"/>
    <s v="Grocery Shopping "/>
    <x v="2"/>
    <s v="Grocery"/>
    <x v="7"/>
    <n v="1"/>
    <n v="755"/>
    <n v="755"/>
    <s v="Non-Tax Relief Expenses"/>
  </r>
  <r>
    <d v="2023-08-01T00:00:00"/>
    <x v="11"/>
    <s v="Grocery Shopping "/>
    <x v="2"/>
    <s v="Grocery"/>
    <x v="7"/>
    <n v="1"/>
    <n v="778"/>
    <n v="778"/>
    <s v="Non-Tax Relief Expenses"/>
  </r>
  <r>
    <d v="2023-08-15T00:00:00"/>
    <x v="11"/>
    <s v="Grocery Shopping "/>
    <x v="2"/>
    <s v="Grocery"/>
    <x v="7"/>
    <n v="1"/>
    <n v="750"/>
    <n v="750"/>
    <s v="Non-Tax Relief Expenses"/>
  </r>
  <r>
    <d v="2023-09-01T00:00:00"/>
    <x v="9"/>
    <s v="Grocery Shopping "/>
    <x v="2"/>
    <s v="Grocery"/>
    <x v="7"/>
    <n v="1"/>
    <n v="730"/>
    <n v="730"/>
    <s v="Non-Tax Relief Expenses"/>
  </r>
  <r>
    <d v="2023-09-15T00:00:00"/>
    <x v="9"/>
    <s v="Grocery Shopping "/>
    <x v="2"/>
    <s v="Grocery"/>
    <x v="7"/>
    <n v="1"/>
    <n v="750"/>
    <n v="750"/>
    <s v="Non-Tax Relief Expenses"/>
  </r>
  <r>
    <d v="2023-10-01T00:00:00"/>
    <x v="1"/>
    <s v="Grocery Shopping "/>
    <x v="2"/>
    <s v="Grocery"/>
    <x v="7"/>
    <n v="1"/>
    <n v="800"/>
    <n v="800"/>
    <s v="Non-Tax Relief Expenses"/>
  </r>
  <r>
    <d v="2023-10-15T00:00:00"/>
    <x v="1"/>
    <s v="Grocery Shopping "/>
    <x v="2"/>
    <s v="Grocery"/>
    <x v="7"/>
    <n v="1"/>
    <n v="769"/>
    <n v="769"/>
    <s v="Non-Tax Relief Expenses"/>
  </r>
  <r>
    <d v="2023-11-01T00:00:00"/>
    <x v="5"/>
    <s v="Grocery Shopping "/>
    <x v="2"/>
    <s v="Grocery"/>
    <x v="7"/>
    <n v="1"/>
    <n v="804"/>
    <n v="804"/>
    <s v="Non-Tax Relief Expenses"/>
  </r>
  <r>
    <d v="2023-11-15T00:00:00"/>
    <x v="5"/>
    <s v="Grocery Shopping "/>
    <x v="2"/>
    <s v="Grocery"/>
    <x v="7"/>
    <n v="1"/>
    <n v="788"/>
    <n v="788"/>
    <s v="Non-Tax Relief Expenses"/>
  </r>
  <r>
    <d v="2023-12-01T00:00:00"/>
    <x v="3"/>
    <s v="Grocery Shopping "/>
    <x v="2"/>
    <s v="Grocery"/>
    <x v="7"/>
    <n v="1"/>
    <n v="730"/>
    <n v="730"/>
    <s v="Non-Tax Relief Expenses"/>
  </r>
  <r>
    <d v="2023-12-15T00:00:00"/>
    <x v="3"/>
    <s v="Grocery Shopping "/>
    <x v="2"/>
    <s v="Grocery"/>
    <x v="7"/>
    <n v="1"/>
    <n v="810"/>
    <n v="810"/>
    <s v="Non-Tax Relief Expenses"/>
  </r>
  <r>
    <d v="2023-04-23T00:00:00"/>
    <x v="0"/>
    <s v="Gym Equipment"/>
    <x v="0"/>
    <s v="Fitness"/>
    <x v="38"/>
    <n v="2"/>
    <n v="1250"/>
    <n v="2500"/>
    <s v="Lifestyle(books/personal smart device/sports equipment)"/>
  </r>
  <r>
    <d v="2023-05-07T00:00:00"/>
    <x v="4"/>
    <s v="Highway Toll Fees"/>
    <x v="3"/>
    <s v="Personal"/>
    <x v="39"/>
    <n v="1"/>
    <n v="25"/>
    <n v="25"/>
    <s v="Non-Tax Relief Expenses"/>
  </r>
  <r>
    <d v="2023-08-23T00:00:00"/>
    <x v="11"/>
    <s v="Highway Toll Fees"/>
    <x v="3"/>
    <s v="Personal"/>
    <x v="39"/>
    <n v="1"/>
    <n v="35"/>
    <n v="35"/>
    <s v="Non-Tax Relief Expenses"/>
  </r>
  <r>
    <d v="2023-01-05T00:00:00"/>
    <x v="6"/>
    <s v="House Loan"/>
    <x v="9"/>
    <s v="Mortgage"/>
    <x v="13"/>
    <n v="1"/>
    <n v="1600"/>
    <n v="1600"/>
    <s v="Non-Tax Relief Expenses"/>
  </r>
  <r>
    <d v="2023-02-05T00:00:00"/>
    <x v="10"/>
    <s v="House Loan"/>
    <x v="9"/>
    <s v="Mortgage"/>
    <x v="13"/>
    <n v="1"/>
    <n v="1600"/>
    <n v="1600"/>
    <s v="Non-Tax Relief Expenses"/>
  </r>
  <r>
    <d v="2023-03-05T00:00:00"/>
    <x v="8"/>
    <s v="House Loan"/>
    <x v="9"/>
    <s v="Mortgage"/>
    <x v="13"/>
    <n v="1"/>
    <n v="1600"/>
    <n v="1600"/>
    <s v="Non-Tax Relief Expenses"/>
  </r>
  <r>
    <d v="2023-04-05T00:00:00"/>
    <x v="0"/>
    <s v="House Loan"/>
    <x v="9"/>
    <s v="Mortgage"/>
    <x v="13"/>
    <n v="1"/>
    <n v="1600"/>
    <n v="1600"/>
    <s v="Non-Tax Relief Expenses"/>
  </r>
  <r>
    <d v="2023-05-05T00:00:00"/>
    <x v="4"/>
    <s v="House Loan"/>
    <x v="9"/>
    <s v="Mortgage"/>
    <x v="13"/>
    <n v="1"/>
    <n v="1600"/>
    <n v="1600"/>
    <s v="Non-Tax Relief Expenses"/>
  </r>
  <r>
    <d v="2023-06-05T00:00:00"/>
    <x v="2"/>
    <s v="House Loan"/>
    <x v="9"/>
    <s v="Mortgage"/>
    <x v="13"/>
    <n v="1"/>
    <n v="1600"/>
    <n v="1600"/>
    <s v="Non-Tax Relief Expenses"/>
  </r>
  <r>
    <d v="2023-07-05T00:00:00"/>
    <x v="7"/>
    <s v="House Loan"/>
    <x v="9"/>
    <s v="Mortgage"/>
    <x v="13"/>
    <n v="1"/>
    <n v="1600"/>
    <n v="1600"/>
    <s v="Non-Tax Relief Expenses"/>
  </r>
  <r>
    <d v="2023-08-05T00:00:00"/>
    <x v="11"/>
    <s v="House Loan"/>
    <x v="9"/>
    <s v="Mortgage"/>
    <x v="13"/>
    <n v="1"/>
    <n v="1600"/>
    <n v="1600"/>
    <s v="Non-Tax Relief Expenses"/>
  </r>
  <r>
    <d v="2023-09-05T00:00:00"/>
    <x v="9"/>
    <s v="House Loan"/>
    <x v="9"/>
    <s v="Mortgage"/>
    <x v="13"/>
    <n v="1"/>
    <n v="1600"/>
    <n v="1600"/>
    <s v="Non-Tax Relief Expenses"/>
  </r>
  <r>
    <d v="2023-10-05T00:00:00"/>
    <x v="1"/>
    <s v="House Loan"/>
    <x v="9"/>
    <s v="Mortgage"/>
    <x v="13"/>
    <n v="1"/>
    <n v="1600"/>
    <n v="1600"/>
    <s v="Non-Tax Relief Expenses"/>
  </r>
  <r>
    <d v="2023-11-05T00:00:00"/>
    <x v="5"/>
    <s v="House Loan"/>
    <x v="9"/>
    <s v="Mortgage"/>
    <x v="13"/>
    <n v="1"/>
    <n v="1600"/>
    <n v="1600"/>
    <s v="Non-Tax Relief Expenses"/>
  </r>
  <r>
    <d v="2023-12-05T00:00:00"/>
    <x v="3"/>
    <s v="House Loan"/>
    <x v="9"/>
    <s v="Mortgage"/>
    <x v="13"/>
    <n v="1"/>
    <n v="1600"/>
    <n v="1600"/>
    <s v="Non-Tax Relief Expenses"/>
  </r>
  <r>
    <d v="2023-01-09T00:00:00"/>
    <x v="6"/>
    <s v="Hunger Games"/>
    <x v="1"/>
    <s v="Movies"/>
    <x v="3"/>
    <n v="2"/>
    <n v="17"/>
    <n v="34"/>
    <s v="Non-Tax Relief Expenses"/>
  </r>
  <r>
    <d v="2023-03-11T00:00:00"/>
    <x v="8"/>
    <s v="Iced Cola"/>
    <x v="2"/>
    <s v="Dinner"/>
    <x v="16"/>
    <n v="3"/>
    <n v="3"/>
    <n v="9"/>
    <s v="Non-Tax Relief Expenses"/>
  </r>
  <r>
    <d v="2023-09-09T00:00:00"/>
    <x v="9"/>
    <s v="Iced Cola"/>
    <x v="2"/>
    <s v="Dinner"/>
    <x v="16"/>
    <n v="3"/>
    <n v="3"/>
    <n v="9"/>
    <s v="Non-Tax Relief Expenses"/>
  </r>
  <r>
    <d v="2023-01-26T00:00:00"/>
    <x v="6"/>
    <s v="Internet Subscription"/>
    <x v="6"/>
    <s v="Internet"/>
    <x v="40"/>
    <n v="1"/>
    <n v="100"/>
    <n v="100"/>
    <s v="Lifestyle(books/personal smart device/sports equipment)"/>
  </r>
  <r>
    <d v="2023-02-27T00:00:00"/>
    <x v="10"/>
    <s v="Internet Subscription"/>
    <x v="6"/>
    <s v="Internet"/>
    <x v="40"/>
    <n v="1"/>
    <n v="100"/>
    <n v="100"/>
    <m/>
  </r>
  <r>
    <d v="2023-03-26T00:00:00"/>
    <x v="8"/>
    <s v="Internet Subscription"/>
    <x v="6"/>
    <s v="Internet"/>
    <x v="40"/>
    <n v="1"/>
    <n v="100"/>
    <n v="100"/>
    <m/>
  </r>
  <r>
    <d v="2023-04-26T00:00:00"/>
    <x v="0"/>
    <s v="Internet Subscription"/>
    <x v="6"/>
    <s v="Internet"/>
    <x v="40"/>
    <n v="1"/>
    <n v="100"/>
    <n v="100"/>
    <m/>
  </r>
  <r>
    <d v="2023-05-27T00:00:00"/>
    <x v="4"/>
    <s v="Internet Subscription"/>
    <x v="6"/>
    <s v="Internet"/>
    <x v="40"/>
    <n v="1"/>
    <n v="100"/>
    <n v="100"/>
    <m/>
  </r>
  <r>
    <d v="2023-06-27T00:00:00"/>
    <x v="2"/>
    <s v="Internet Subscription"/>
    <x v="6"/>
    <s v="Internet"/>
    <x v="40"/>
    <n v="1"/>
    <n v="100"/>
    <n v="100"/>
    <m/>
  </r>
  <r>
    <d v="2023-07-27T00:00:00"/>
    <x v="7"/>
    <s v="Internet Subscription"/>
    <x v="6"/>
    <s v="Internet"/>
    <x v="40"/>
    <n v="1"/>
    <n v="100"/>
    <n v="100"/>
    <m/>
  </r>
  <r>
    <d v="2023-08-26T00:00:00"/>
    <x v="11"/>
    <s v="Internet Subscription"/>
    <x v="6"/>
    <s v="Internet"/>
    <x v="40"/>
    <n v="1"/>
    <n v="100"/>
    <n v="100"/>
    <m/>
  </r>
  <r>
    <d v="2023-09-26T00:00:00"/>
    <x v="9"/>
    <s v="Internet Subscription"/>
    <x v="6"/>
    <s v="Internet"/>
    <x v="40"/>
    <n v="1"/>
    <n v="100"/>
    <n v="100"/>
    <m/>
  </r>
  <r>
    <d v="2023-10-26T00:00:00"/>
    <x v="1"/>
    <s v="Internet Subscription"/>
    <x v="6"/>
    <s v="Internet"/>
    <x v="40"/>
    <n v="1"/>
    <n v="100"/>
    <n v="100"/>
    <m/>
  </r>
  <r>
    <d v="2023-11-28T00:00:00"/>
    <x v="5"/>
    <s v="Internet Subscription"/>
    <x v="6"/>
    <s v="Internet"/>
    <x v="40"/>
    <n v="1"/>
    <n v="100"/>
    <n v="100"/>
    <m/>
  </r>
  <r>
    <d v="2023-12-27T00:00:00"/>
    <x v="3"/>
    <s v="Internet Subscription"/>
    <x v="6"/>
    <s v="Internet"/>
    <x v="40"/>
    <n v="1"/>
    <n v="100"/>
    <n v="100"/>
    <m/>
  </r>
  <r>
    <d v="2023-04-16T00:00:00"/>
    <x v="0"/>
    <s v="Karaoke Night"/>
    <x v="1"/>
    <s v="Music"/>
    <x v="41"/>
    <n v="3"/>
    <n v="30"/>
    <n v="90"/>
    <s v="Non-Tax Relief Expenses"/>
  </r>
  <r>
    <d v="2023-08-07T00:00:00"/>
    <x v="11"/>
    <s v="Karaoke Night"/>
    <x v="1"/>
    <s v="Music"/>
    <x v="41"/>
    <n v="3"/>
    <n v="30"/>
    <n v="90"/>
    <s v="Non-Tax Relief Expenses"/>
  </r>
  <r>
    <d v="2023-11-09T00:00:00"/>
    <x v="5"/>
    <s v="Karaoke Night"/>
    <x v="1"/>
    <s v="Music"/>
    <x v="42"/>
    <n v="3"/>
    <n v="25"/>
    <n v="75"/>
    <s v="Non-Tax Relief Expenses"/>
  </r>
  <r>
    <d v="2023-01-10T00:00:00"/>
    <x v="6"/>
    <s v="Korean BBQ"/>
    <x v="2"/>
    <s v="Dinner"/>
    <x v="43"/>
    <n v="3"/>
    <n v="35"/>
    <n v="105"/>
    <s v="Non-Tax Relief Expenses"/>
  </r>
  <r>
    <d v="2023-07-08T00:00:00"/>
    <x v="7"/>
    <s v="Korean BBQ"/>
    <x v="2"/>
    <s v="Dinner"/>
    <x v="43"/>
    <n v="3"/>
    <n v="35"/>
    <n v="105"/>
    <s v="Non-Tax Relief Expenses"/>
  </r>
  <r>
    <d v="2023-02-18T00:00:00"/>
    <x v="10"/>
    <s v="Laksa"/>
    <x v="2"/>
    <s v="Lunch"/>
    <x v="44"/>
    <n v="3"/>
    <n v="10"/>
    <n v="30"/>
    <s v="Non-Tax Relief Expenses"/>
  </r>
  <r>
    <d v="2023-08-19T00:00:00"/>
    <x v="11"/>
    <s v="Laksa"/>
    <x v="2"/>
    <s v="Lunch"/>
    <x v="44"/>
    <n v="3"/>
    <n v="10"/>
    <n v="30"/>
    <s v="Non-Tax Relief Expenses"/>
  </r>
  <r>
    <d v="2023-02-18T00:00:00"/>
    <x v="10"/>
    <s v="Lemon Tea"/>
    <x v="2"/>
    <s v="Lunch"/>
    <x v="44"/>
    <n v="2"/>
    <n v="3"/>
    <n v="6"/>
    <s v="Non-Tax Relief Expenses"/>
  </r>
  <r>
    <d v="2023-08-19T00:00:00"/>
    <x v="11"/>
    <s v="Lemon Tea"/>
    <x v="2"/>
    <s v="Lunch"/>
    <x v="44"/>
    <n v="2"/>
    <n v="3"/>
    <n v="6"/>
    <s v="Non-Tax Relief Expenses"/>
  </r>
  <r>
    <d v="2023-06-03T00:00:00"/>
    <x v="2"/>
    <s v="Lempeng Pisang"/>
    <x v="2"/>
    <s v="Breakfast"/>
    <x v="2"/>
    <n v="1"/>
    <n v="5.5"/>
    <n v="5.5"/>
    <s v="Non-Tax Relief Expenses"/>
  </r>
  <r>
    <d v="2023-12-02T00:00:00"/>
    <x v="3"/>
    <s v="Lempeng Pisang"/>
    <x v="2"/>
    <s v="Breakfast"/>
    <x v="2"/>
    <n v="1"/>
    <n v="5.5"/>
    <n v="5.5"/>
    <s v="Non-Tax Relief Expenses"/>
  </r>
  <r>
    <d v="2023-01-17T00:00:00"/>
    <x v="6"/>
    <s v="Life Insurance"/>
    <x v="5"/>
    <s v="Life"/>
    <x v="28"/>
    <n v="1"/>
    <n v="3500"/>
    <n v="3500"/>
    <s v="Life Insurance"/>
  </r>
  <r>
    <d v="2023-07-17T00:00:00"/>
    <x v="7"/>
    <s v="Life Insurance"/>
    <x v="5"/>
    <s v="Life"/>
    <x v="28"/>
    <n v="1"/>
    <n v="3500"/>
    <n v="3500"/>
    <s v="Life Insurance"/>
  </r>
  <r>
    <d v="2023-01-04T00:00:00"/>
    <x v="6"/>
    <s v="Medical Insurance"/>
    <x v="5"/>
    <s v="Medical"/>
    <x v="28"/>
    <n v="1"/>
    <n v="1000"/>
    <n v="1000"/>
    <s v="Education and medical insurance"/>
  </r>
  <r>
    <d v="2023-07-04T00:00:00"/>
    <x v="7"/>
    <s v="Medical Insurance"/>
    <x v="5"/>
    <s v="Medical"/>
    <x v="28"/>
    <n v="1"/>
    <n v="1000"/>
    <n v="1000"/>
    <s v="Education and medical insurance"/>
  </r>
  <r>
    <d v="2023-05-13T00:00:00"/>
    <x v="4"/>
    <s v="Mexican Cuisine"/>
    <x v="2"/>
    <s v="Dinner"/>
    <x v="45"/>
    <n v="1"/>
    <n v="100"/>
    <n v="100"/>
    <s v="Non-Tax Relief Expenses"/>
  </r>
  <r>
    <d v="2023-11-11T00:00:00"/>
    <x v="5"/>
    <s v="Mexican Cuisine"/>
    <x v="2"/>
    <s v="Dinner"/>
    <x v="45"/>
    <n v="1"/>
    <n v="100"/>
    <n v="100"/>
    <s v="Non-Tax Relief Expenses"/>
  </r>
  <r>
    <d v="2023-01-09T00:00:00"/>
    <x v="6"/>
    <s v="Mineral Water"/>
    <x v="2"/>
    <s v="Lunch"/>
    <x v="3"/>
    <n v="2"/>
    <n v="2"/>
    <n v="4"/>
    <s v="Non-Tax Relief Expenses"/>
  </r>
  <r>
    <d v="2023-01-23T00:00:00"/>
    <x v="6"/>
    <s v="MyCity Pass 1-Day"/>
    <x v="3"/>
    <s v="Public Transportation"/>
    <x v="46"/>
    <n v="3"/>
    <n v="5"/>
    <n v="15"/>
    <m/>
  </r>
  <r>
    <d v="2023-07-07T00:00:00"/>
    <x v="7"/>
    <s v="MyCity Pass 1-Day"/>
    <x v="3"/>
    <s v="Public Transportation"/>
    <x v="46"/>
    <n v="3"/>
    <n v="5"/>
    <n v="15"/>
    <m/>
  </r>
  <r>
    <d v="2023-09-13T00:00:00"/>
    <x v="9"/>
    <s v="MyCity Pass 1-Day"/>
    <x v="3"/>
    <s v="Public Transportation"/>
    <x v="46"/>
    <n v="3"/>
    <n v="5"/>
    <n v="15"/>
    <m/>
  </r>
  <r>
    <d v="2023-11-23T00:00:00"/>
    <x v="5"/>
    <s v="MyCity Pass 1-Day"/>
    <x v="3"/>
    <s v="Public Transportation"/>
    <x v="46"/>
    <n v="3"/>
    <n v="5"/>
    <n v="15"/>
    <m/>
  </r>
  <r>
    <d v="2023-12-08T00:00:00"/>
    <x v="3"/>
    <s v="MyCity Pass 1-Day"/>
    <x v="3"/>
    <s v="Public Transportation"/>
    <x v="46"/>
    <n v="3"/>
    <n v="5"/>
    <n v="15"/>
    <m/>
  </r>
  <r>
    <d v="2023-04-15T00:00:00"/>
    <x v="0"/>
    <s v="Nasi Ayam Kukus"/>
    <x v="2"/>
    <s v="Dinner"/>
    <x v="47"/>
    <n v="3"/>
    <n v="6"/>
    <n v="18"/>
    <s v="Non-Tax Relief Expenses"/>
  </r>
  <r>
    <d v="2023-10-21T00:00:00"/>
    <x v="1"/>
    <s v="Nasi Ayam Kukus"/>
    <x v="2"/>
    <s v="Dinner"/>
    <x v="47"/>
    <n v="3"/>
    <n v="6"/>
    <n v="18"/>
    <s v="Non-Tax Relief Expenses"/>
  </r>
  <r>
    <d v="2023-01-02T00:00:00"/>
    <x v="6"/>
    <s v="Nasi Lemak"/>
    <x v="2"/>
    <s v="Lunch"/>
    <x v="48"/>
    <n v="3"/>
    <n v="9"/>
    <n v="27"/>
    <s v="Non-Tax Relief Expenses"/>
  </r>
  <r>
    <d v="2023-03-18T00:00:00"/>
    <x v="8"/>
    <s v="Nasi Lemak"/>
    <x v="2"/>
    <s v="Breakfast"/>
    <x v="15"/>
    <n v="2"/>
    <n v="4"/>
    <n v="8"/>
    <s v="Non-Tax Relief Expenses"/>
  </r>
  <r>
    <d v="2023-04-01T00:00:00"/>
    <x v="0"/>
    <s v="Nasi Lemak"/>
    <x v="2"/>
    <s v="Dinner"/>
    <x v="49"/>
    <n v="3"/>
    <n v="8"/>
    <n v="24"/>
    <s v="Non-Tax Relief Expenses"/>
  </r>
  <r>
    <d v="2023-06-10T00:00:00"/>
    <x v="2"/>
    <s v="Nasi Lemak"/>
    <x v="2"/>
    <s v="Lunch"/>
    <x v="48"/>
    <n v="3"/>
    <n v="9"/>
    <n v="27"/>
    <s v="Non-Tax Relief Expenses"/>
  </r>
  <r>
    <d v="2023-07-01T00:00:00"/>
    <x v="7"/>
    <s v="Nasi Lemak"/>
    <x v="2"/>
    <s v="Lunch"/>
    <x v="48"/>
    <n v="3"/>
    <n v="9"/>
    <n v="27"/>
    <s v="Non-Tax Relief Expenses"/>
  </r>
  <r>
    <d v="2023-09-16T00:00:00"/>
    <x v="9"/>
    <s v="Nasi Lemak"/>
    <x v="2"/>
    <s v="Breakfast"/>
    <x v="15"/>
    <n v="2"/>
    <n v="4"/>
    <n v="8"/>
    <s v="Non-Tax Relief Expenses"/>
  </r>
  <r>
    <d v="2023-10-07T00:00:00"/>
    <x v="1"/>
    <s v="Nasi Lemak"/>
    <x v="2"/>
    <s v="Dinner"/>
    <x v="49"/>
    <n v="3"/>
    <n v="8"/>
    <n v="24"/>
    <s v="Non-Tax Relief Expenses"/>
  </r>
  <r>
    <d v="2023-12-09T00:00:00"/>
    <x v="3"/>
    <s v="Nasi Lemak"/>
    <x v="2"/>
    <s v="Lunch"/>
    <x v="48"/>
    <n v="3"/>
    <n v="9"/>
    <n v="27"/>
    <s v="Non-Tax Relief Expenses"/>
  </r>
  <r>
    <d v="2023-02-07T00:00:00"/>
    <x v="10"/>
    <s v="New Laptop"/>
    <x v="8"/>
    <s v="Laptop"/>
    <x v="50"/>
    <n v="1"/>
    <n v="5000"/>
    <n v="5000"/>
    <s v="Lifestyle(books/personal smart device/sports equipment)"/>
  </r>
  <r>
    <d v="2023-06-05T00:00:00"/>
    <x v="2"/>
    <s v="New Phone"/>
    <x v="8"/>
    <s v="Phone"/>
    <x v="51"/>
    <n v="1"/>
    <n v="4000"/>
    <n v="4000"/>
    <s v="Lifestyle(books/personal smart device/sports equipment)"/>
  </r>
  <r>
    <d v="2023-12-06T00:00:00"/>
    <x v="3"/>
    <s v="New Tablet"/>
    <x v="8"/>
    <s v="Tablet"/>
    <x v="51"/>
    <n v="1"/>
    <n v="2500"/>
    <n v="2500"/>
    <s v="Lifestyle(books/personal smart device/sports equipment)"/>
  </r>
  <r>
    <d v="2023-03-04T00:00:00"/>
    <x v="8"/>
    <s v="Noodle Soup"/>
    <x v="2"/>
    <s v="Dinner"/>
    <x v="52"/>
    <n v="3"/>
    <n v="8"/>
    <n v="24"/>
    <s v="Non-Tax Relief Expenses"/>
  </r>
  <r>
    <d v="2023-09-02T00:00:00"/>
    <x v="9"/>
    <s v="Noodle Soup"/>
    <x v="2"/>
    <s v="Dinner"/>
    <x v="52"/>
    <n v="3"/>
    <n v="8"/>
    <n v="24"/>
    <s v="Non-Tax Relief Expenses"/>
  </r>
  <r>
    <d v="2023-06-10T00:00:00"/>
    <x v="2"/>
    <s v="Norwegian Fresh Salmon"/>
    <x v="2"/>
    <s v="Dinner"/>
    <x v="4"/>
    <n v="1"/>
    <n v="99"/>
    <n v="99"/>
    <s v="Non-Tax Relief Expenses"/>
  </r>
  <r>
    <d v="2023-12-09T00:00:00"/>
    <x v="3"/>
    <s v="Norwegian Fresh Salmon"/>
    <x v="2"/>
    <s v="Dinner"/>
    <x v="4"/>
    <n v="1"/>
    <n v="99"/>
    <n v="99"/>
    <s v="Non-Tax Relief Expenses"/>
  </r>
  <r>
    <d v="2023-09-20T00:00:00"/>
    <x v="9"/>
    <s v="Online Gaming Subscription"/>
    <x v="1"/>
    <s v="Gaming"/>
    <x v="53"/>
    <n v="3"/>
    <n v="10"/>
    <n v="30"/>
    <s v="Non-Tax Relief Expenses"/>
  </r>
  <r>
    <d v="2023-10-13T00:00:00"/>
    <x v="1"/>
    <s v="Oppenheimer"/>
    <x v="1"/>
    <s v="Movies"/>
    <x v="3"/>
    <n v="2"/>
    <n v="17"/>
    <n v="34"/>
    <s v="Non-Tax Relief Expenses"/>
  </r>
  <r>
    <d v="2023-02-10T00:00:00"/>
    <x v="10"/>
    <s v="Parking Fee "/>
    <x v="3"/>
    <s v="Personal"/>
    <x v="54"/>
    <n v="1"/>
    <n v="5"/>
    <n v="5"/>
    <m/>
  </r>
  <r>
    <d v="2023-04-20T00:00:00"/>
    <x v="0"/>
    <s v="Parking Fee "/>
    <x v="3"/>
    <s v="Personal"/>
    <x v="55"/>
    <n v="1"/>
    <n v="4"/>
    <n v="4"/>
    <m/>
  </r>
  <r>
    <d v="2023-06-22T00:00:00"/>
    <x v="2"/>
    <s v="Parking Fee "/>
    <x v="3"/>
    <s v="Personal"/>
    <x v="55"/>
    <n v="1"/>
    <n v="4"/>
    <n v="4"/>
    <m/>
  </r>
  <r>
    <d v="2023-07-09T00:00:00"/>
    <x v="7"/>
    <s v="Parking Fee "/>
    <x v="3"/>
    <s v="Personal"/>
    <x v="7"/>
    <n v="1"/>
    <n v="1"/>
    <n v="1"/>
    <m/>
  </r>
  <r>
    <d v="2023-11-11T00:00:00"/>
    <x v="5"/>
    <s v="Parking Fee "/>
    <x v="3"/>
    <s v="Personal"/>
    <x v="54"/>
    <n v="1"/>
    <n v="5"/>
    <n v="5"/>
    <m/>
  </r>
  <r>
    <d v="2023-12-15T00:00:00"/>
    <x v="3"/>
    <s v="Parking Fee "/>
    <x v="3"/>
    <s v="Personal"/>
    <x v="54"/>
    <n v="1"/>
    <n v="5"/>
    <n v="5"/>
    <m/>
  </r>
  <r>
    <d v="2023-03-04T00:00:00"/>
    <x v="8"/>
    <s v="Penang Prawn Mee"/>
    <x v="2"/>
    <s v="Lunch"/>
    <x v="56"/>
    <n v="2"/>
    <n v="8"/>
    <n v="16"/>
    <s v="Non-Tax Relief Expenses"/>
  </r>
  <r>
    <d v="2023-09-02T00:00:00"/>
    <x v="9"/>
    <s v="Penang Prawn Mee"/>
    <x v="2"/>
    <s v="Lunch"/>
    <x v="56"/>
    <n v="2"/>
    <n v="8"/>
    <n v="16"/>
    <s v="Non-Tax Relief Expenses"/>
  </r>
  <r>
    <d v="2023-01-02T00:00:00"/>
    <x v="6"/>
    <s v="Petrol Refill"/>
    <x v="3"/>
    <s v="Personal"/>
    <x v="57"/>
    <n v="1"/>
    <n v="120"/>
    <n v="120"/>
    <s v="Non-Tax Relief Expenses"/>
  </r>
  <r>
    <d v="2023-02-08T00:00:00"/>
    <x v="10"/>
    <s v="Petrol Refill"/>
    <x v="3"/>
    <s v="Personal"/>
    <x v="57"/>
    <n v="1"/>
    <n v="120"/>
    <n v="120"/>
    <m/>
  </r>
  <r>
    <d v="2023-02-22T00:00:00"/>
    <x v="10"/>
    <s v="Petrol Refill"/>
    <x v="3"/>
    <s v="Personal"/>
    <x v="57"/>
    <n v="1"/>
    <n v="100"/>
    <n v="100"/>
    <m/>
  </r>
  <r>
    <d v="2023-03-06T00:00:00"/>
    <x v="8"/>
    <s v="Petrol Refill"/>
    <x v="3"/>
    <s v="Personal"/>
    <x v="57"/>
    <n v="1"/>
    <n v="100"/>
    <n v="100"/>
    <m/>
  </r>
  <r>
    <d v="2023-03-20T00:00:00"/>
    <x v="8"/>
    <s v="Petrol Refill"/>
    <x v="3"/>
    <s v="Personal"/>
    <x v="57"/>
    <n v="1"/>
    <n v="110"/>
    <n v="110"/>
    <m/>
  </r>
  <r>
    <d v="2023-04-04T00:00:00"/>
    <x v="0"/>
    <s v="Petrol Refill"/>
    <x v="3"/>
    <s v="Personal"/>
    <x v="57"/>
    <n v="1"/>
    <n v="80"/>
    <n v="80"/>
    <m/>
  </r>
  <r>
    <d v="2023-04-18T00:00:00"/>
    <x v="0"/>
    <s v="Petrol Refill"/>
    <x v="3"/>
    <s v="Personal"/>
    <x v="57"/>
    <n v="1"/>
    <n v="120"/>
    <n v="120"/>
    <m/>
  </r>
  <r>
    <d v="2023-05-08T00:00:00"/>
    <x v="4"/>
    <s v="Petrol Refill"/>
    <x v="3"/>
    <s v="Personal"/>
    <x v="57"/>
    <n v="1"/>
    <n v="120"/>
    <n v="120"/>
    <m/>
  </r>
  <r>
    <d v="2023-06-08T00:00:00"/>
    <x v="2"/>
    <s v="Petrol Refill"/>
    <x v="3"/>
    <s v="Personal"/>
    <x v="57"/>
    <n v="1"/>
    <n v="100"/>
    <n v="100"/>
    <m/>
  </r>
  <r>
    <d v="2023-06-24T00:00:00"/>
    <x v="2"/>
    <s v="Petrol Refill"/>
    <x v="3"/>
    <s v="Personal"/>
    <x v="57"/>
    <n v="1"/>
    <n v="120"/>
    <n v="120"/>
    <m/>
  </r>
  <r>
    <d v="2023-07-17T00:00:00"/>
    <x v="7"/>
    <s v="Petrol Refill"/>
    <x v="3"/>
    <s v="Personal"/>
    <x v="57"/>
    <n v="1"/>
    <n v="110"/>
    <n v="110"/>
    <m/>
  </r>
  <r>
    <d v="2023-08-08T00:00:00"/>
    <x v="11"/>
    <s v="Petrol Refill"/>
    <x v="3"/>
    <s v="Personal"/>
    <x v="57"/>
    <n v="1"/>
    <n v="110"/>
    <n v="110"/>
    <m/>
  </r>
  <r>
    <d v="2023-08-20T00:00:00"/>
    <x v="11"/>
    <s v="Petrol Refill"/>
    <x v="3"/>
    <s v="Personal"/>
    <x v="57"/>
    <n v="1"/>
    <n v="110"/>
    <n v="110"/>
    <m/>
  </r>
  <r>
    <d v="2023-09-09T00:00:00"/>
    <x v="9"/>
    <s v="Petrol Refill"/>
    <x v="3"/>
    <s v="Personal"/>
    <x v="57"/>
    <n v="1"/>
    <n v="100"/>
    <n v="100"/>
    <m/>
  </r>
  <r>
    <d v="2023-09-23T00:00:00"/>
    <x v="9"/>
    <s v="Petrol Refill"/>
    <x v="3"/>
    <s v="Personal"/>
    <x v="57"/>
    <n v="1"/>
    <n v="90"/>
    <n v="90"/>
    <m/>
  </r>
  <r>
    <d v="2023-10-11T00:00:00"/>
    <x v="1"/>
    <s v="Petrol Refill"/>
    <x v="3"/>
    <s v="Personal"/>
    <x v="57"/>
    <n v="1"/>
    <n v="100"/>
    <n v="100"/>
    <m/>
  </r>
  <r>
    <d v="2023-10-25T00:00:00"/>
    <x v="1"/>
    <s v="Petrol Refill"/>
    <x v="3"/>
    <s v="Personal"/>
    <x v="57"/>
    <n v="1"/>
    <n v="120"/>
    <n v="120"/>
    <m/>
  </r>
  <r>
    <d v="2023-11-20T00:00:00"/>
    <x v="5"/>
    <s v="Petrol Refill"/>
    <x v="3"/>
    <s v="Public Transportation"/>
    <x v="57"/>
    <n v="1"/>
    <n v="120"/>
    <n v="120"/>
    <m/>
  </r>
  <r>
    <d v="2023-12-06T00:00:00"/>
    <x v="3"/>
    <s v="Petrol Refill"/>
    <x v="3"/>
    <s v="Personal"/>
    <x v="57"/>
    <n v="1"/>
    <n v="110"/>
    <n v="110"/>
    <m/>
  </r>
  <r>
    <d v="2023-12-20T00:00:00"/>
    <x v="3"/>
    <s v="Petrol Refill"/>
    <x v="3"/>
    <s v="Personal"/>
    <x v="57"/>
    <n v="1"/>
    <n v="110"/>
    <n v="110"/>
    <m/>
  </r>
  <r>
    <d v="2023-02-11T00:00:00"/>
    <x v="10"/>
    <s v="Pizza"/>
    <x v="2"/>
    <s v="Dinner"/>
    <x v="58"/>
    <n v="1"/>
    <n v="50"/>
    <n v="50"/>
    <s v="Non-Tax Relief Expenses"/>
  </r>
  <r>
    <d v="2023-08-12T00:00:00"/>
    <x v="11"/>
    <s v="Pizza"/>
    <x v="2"/>
    <s v="Dinner"/>
    <x v="58"/>
    <n v="1"/>
    <n v="50"/>
    <n v="50"/>
    <s v="Non-Tax Relief Expenses"/>
  </r>
  <r>
    <d v="2023-01-24T00:00:00"/>
    <x v="6"/>
    <s v="Private Retirement Scheme (PRS)"/>
    <x v="7"/>
    <s v="Retirement"/>
    <x v="59"/>
    <n v="1"/>
    <n v="500"/>
    <n v="500"/>
    <m/>
  </r>
  <r>
    <d v="2023-02-24T00:00:00"/>
    <x v="10"/>
    <s v="Private Retirement Scheme (PRS)"/>
    <x v="7"/>
    <s v="Retirement"/>
    <x v="59"/>
    <n v="1"/>
    <n v="500"/>
    <n v="500"/>
    <m/>
  </r>
  <r>
    <d v="2023-03-24T00:00:00"/>
    <x v="8"/>
    <s v="Private Retirement Scheme (PRS)"/>
    <x v="7"/>
    <s v="Retirement"/>
    <x v="59"/>
    <n v="1"/>
    <n v="500"/>
    <n v="500"/>
    <m/>
  </r>
  <r>
    <d v="2023-04-24T00:00:00"/>
    <x v="0"/>
    <s v="Private Retirement Scheme (PRS)"/>
    <x v="7"/>
    <s v="Retirement"/>
    <x v="59"/>
    <n v="1"/>
    <n v="500"/>
    <n v="500"/>
    <m/>
  </r>
  <r>
    <d v="2023-05-24T00:00:00"/>
    <x v="4"/>
    <s v="Private Retirement Scheme (PRS)"/>
    <x v="7"/>
    <s v="Retirement"/>
    <x v="59"/>
    <n v="1"/>
    <n v="500"/>
    <n v="500"/>
    <m/>
  </r>
  <r>
    <d v="2023-06-24T00:00:00"/>
    <x v="2"/>
    <s v="Private Retirement Scheme (PRS)"/>
    <x v="7"/>
    <s v="Retirement"/>
    <x v="59"/>
    <n v="1"/>
    <n v="500"/>
    <n v="500"/>
    <m/>
  </r>
  <r>
    <d v="2023-07-24T00:00:00"/>
    <x v="7"/>
    <s v="Private Retirement Scheme (PRS)"/>
    <x v="7"/>
    <s v="Retirement"/>
    <x v="59"/>
    <n v="1"/>
    <n v="500"/>
    <n v="500"/>
    <m/>
  </r>
  <r>
    <d v="2023-08-24T00:00:00"/>
    <x v="11"/>
    <s v="Private Retirement Scheme (PRS)"/>
    <x v="7"/>
    <s v="Retirement"/>
    <x v="59"/>
    <n v="1"/>
    <n v="500"/>
    <n v="500"/>
    <m/>
  </r>
  <r>
    <d v="2023-09-24T00:00:00"/>
    <x v="9"/>
    <s v="Private Retirement Scheme (PRS)"/>
    <x v="7"/>
    <s v="Retirement"/>
    <x v="59"/>
    <n v="1"/>
    <n v="500"/>
    <n v="500"/>
    <m/>
  </r>
  <r>
    <d v="2023-10-24T00:00:00"/>
    <x v="1"/>
    <s v="Private Retirement Scheme (PRS)"/>
    <x v="7"/>
    <s v="Retirement"/>
    <x v="59"/>
    <n v="1"/>
    <n v="500"/>
    <n v="500"/>
    <m/>
  </r>
  <r>
    <d v="2023-11-24T00:00:00"/>
    <x v="5"/>
    <s v="Private Retirement Scheme (PRS)"/>
    <x v="7"/>
    <s v="Retirement"/>
    <x v="59"/>
    <n v="1"/>
    <n v="500"/>
    <n v="500"/>
    <m/>
  </r>
  <r>
    <d v="2023-12-24T00:00:00"/>
    <x v="3"/>
    <s v="Private Retirement Scheme (PRS)"/>
    <x v="7"/>
    <s v="Retirement"/>
    <x v="59"/>
    <n v="1"/>
    <n v="500"/>
    <n v="500"/>
    <m/>
  </r>
  <r>
    <d v="2023-02-20T00:00:00"/>
    <x v="10"/>
    <s v="PS5 Console"/>
    <x v="8"/>
    <s v="Gaming"/>
    <x v="60"/>
    <n v="1"/>
    <n v="2000"/>
    <n v="2000"/>
    <s v="Non-Tax Relief Expenses"/>
  </r>
  <r>
    <d v="2023-03-11T00:00:00"/>
    <x v="8"/>
    <s v="Ramen"/>
    <x v="2"/>
    <s v="Lunch"/>
    <x v="61"/>
    <n v="2"/>
    <n v="25"/>
    <n v="50"/>
    <s v="Non-Tax Relief Expenses"/>
  </r>
  <r>
    <d v="2023-09-09T00:00:00"/>
    <x v="9"/>
    <s v="Ramen"/>
    <x v="2"/>
    <s v="Lunch"/>
    <x v="61"/>
    <n v="2"/>
    <n v="25"/>
    <n v="50"/>
    <s v="Non-Tax Relief Expenses"/>
  </r>
  <r>
    <d v="2023-02-04T00:00:00"/>
    <x v="10"/>
    <s v="Roti Telur"/>
    <x v="2"/>
    <s v="Dinner"/>
    <x v="62"/>
    <n v="3"/>
    <n v="3"/>
    <n v="9"/>
    <s v="Non-Tax Relief Expenses"/>
  </r>
  <r>
    <d v="2023-08-05T00:00:00"/>
    <x v="11"/>
    <s v="Roti Telur"/>
    <x v="2"/>
    <s v="Dinner"/>
    <x v="62"/>
    <n v="3"/>
    <n v="3"/>
    <n v="9"/>
    <s v="Non-Tax Relief Expenses"/>
  </r>
  <r>
    <d v="2023-05-06T00:00:00"/>
    <x v="4"/>
    <s v="Satay"/>
    <x v="2"/>
    <s v="Dinner"/>
    <x v="63"/>
    <n v="1"/>
    <n v="20"/>
    <n v="20"/>
    <s v="Non-Tax Relief Expenses"/>
  </r>
  <r>
    <d v="2023-11-04T00:00:00"/>
    <x v="5"/>
    <s v="Satay"/>
    <x v="2"/>
    <s v="Dinner"/>
    <x v="63"/>
    <n v="1"/>
    <n v="20"/>
    <n v="20"/>
    <s v="Non-Tax Relief Expenses"/>
  </r>
  <r>
    <d v="2023-05-20T00:00:00"/>
    <x v="4"/>
    <s v="SeaFoodPasta"/>
    <x v="2"/>
    <s v="Lunch"/>
    <x v="64"/>
    <n v="1"/>
    <n v="27"/>
    <n v="27"/>
    <s v="Non-Tax Relief Expenses"/>
  </r>
  <r>
    <d v="2023-11-18T00:00:00"/>
    <x v="5"/>
    <s v="SeaFoodPasta"/>
    <x v="2"/>
    <s v="Lunch"/>
    <x v="64"/>
    <n v="1"/>
    <n v="27"/>
    <n v="27"/>
    <s v="Non-Tax Relief Expenses"/>
  </r>
  <r>
    <d v="2023-02-04T00:00:00"/>
    <x v="10"/>
    <s v="Shawarma"/>
    <x v="2"/>
    <s v="Lunch"/>
    <x v="65"/>
    <n v="2"/>
    <n v="8"/>
    <n v="16"/>
    <s v="Non-Tax Relief Expenses"/>
  </r>
  <r>
    <d v="2023-04-08T00:00:00"/>
    <x v="0"/>
    <s v="Shawarma"/>
    <x v="2"/>
    <s v="Lunch"/>
    <x v="65"/>
    <n v="2"/>
    <n v="8"/>
    <n v="16"/>
    <s v="Non-Tax Relief Expenses"/>
  </r>
  <r>
    <d v="2023-08-05T00:00:00"/>
    <x v="11"/>
    <s v="Shawarma"/>
    <x v="2"/>
    <s v="Lunch"/>
    <x v="65"/>
    <n v="2"/>
    <n v="8"/>
    <n v="16"/>
    <s v="Non-Tax Relief Expenses"/>
  </r>
  <r>
    <d v="2023-10-14T00:00:00"/>
    <x v="1"/>
    <s v="Shawarma"/>
    <x v="2"/>
    <s v="Lunch"/>
    <x v="65"/>
    <n v="2"/>
    <n v="8"/>
    <n v="16"/>
    <s v="Non-Tax Relief Expenses"/>
  </r>
  <r>
    <d v="2023-01-10T00:00:00"/>
    <x v="6"/>
    <s v="SOCSO Contribution"/>
    <x v="7"/>
    <s v="Social Security"/>
    <x v="66"/>
    <n v="1"/>
    <n v="100"/>
    <n v="100"/>
    <s v="Contribution to SOCSO"/>
  </r>
  <r>
    <d v="2023-02-10T00:00:00"/>
    <x v="10"/>
    <s v="SOCSO Contribution"/>
    <x v="7"/>
    <s v="Social Security"/>
    <x v="66"/>
    <n v="1"/>
    <n v="100"/>
    <n v="100"/>
    <m/>
  </r>
  <r>
    <d v="2023-03-10T00:00:00"/>
    <x v="8"/>
    <s v="SOCSO Contribution"/>
    <x v="7"/>
    <s v="Social Security"/>
    <x v="66"/>
    <n v="1"/>
    <n v="100"/>
    <n v="100"/>
    <m/>
  </r>
  <r>
    <d v="2023-04-10T00:00:00"/>
    <x v="0"/>
    <s v="SOCSO Contribution"/>
    <x v="7"/>
    <s v="Social Security"/>
    <x v="66"/>
    <n v="1"/>
    <n v="100"/>
    <n v="100"/>
    <m/>
  </r>
  <r>
    <d v="2023-05-10T00:00:00"/>
    <x v="4"/>
    <s v="SOCSO Contribution"/>
    <x v="7"/>
    <s v="Social Security"/>
    <x v="66"/>
    <n v="1"/>
    <n v="100"/>
    <n v="100"/>
    <m/>
  </r>
  <r>
    <d v="2023-06-10T00:00:00"/>
    <x v="2"/>
    <s v="SOCSO Contribution"/>
    <x v="7"/>
    <s v="Social Security"/>
    <x v="66"/>
    <n v="1"/>
    <n v="100"/>
    <n v="100"/>
    <m/>
  </r>
  <r>
    <d v="2023-07-10T00:00:00"/>
    <x v="7"/>
    <s v="SOCSO Contribution"/>
    <x v="7"/>
    <s v="Social Security"/>
    <x v="66"/>
    <n v="1"/>
    <n v="100"/>
    <n v="100"/>
    <m/>
  </r>
  <r>
    <d v="2023-08-10T00:00:00"/>
    <x v="11"/>
    <s v="SOCSO Contribution"/>
    <x v="7"/>
    <s v="Social Security"/>
    <x v="66"/>
    <n v="1"/>
    <n v="100"/>
    <n v="100"/>
    <m/>
  </r>
  <r>
    <d v="2023-09-10T00:00:00"/>
    <x v="9"/>
    <s v="SOCSO Contribution"/>
    <x v="7"/>
    <s v="Social Security"/>
    <x v="66"/>
    <n v="1"/>
    <n v="100"/>
    <n v="100"/>
    <m/>
  </r>
  <r>
    <d v="2023-10-10T00:00:00"/>
    <x v="1"/>
    <s v="SOCSO Contribution"/>
    <x v="7"/>
    <s v="Social Security"/>
    <x v="66"/>
    <n v="1"/>
    <n v="100"/>
    <n v="100"/>
    <m/>
  </r>
  <r>
    <d v="2023-11-10T00:00:00"/>
    <x v="5"/>
    <s v="SOCSO Contribution"/>
    <x v="7"/>
    <s v="Social Security"/>
    <x v="66"/>
    <n v="1"/>
    <n v="100"/>
    <n v="100"/>
    <m/>
  </r>
  <r>
    <d v="2023-12-10T00:00:00"/>
    <x v="3"/>
    <s v="SOCSO Contribution"/>
    <x v="7"/>
    <s v="Social Security"/>
    <x v="66"/>
    <n v="1"/>
    <n v="100"/>
    <n v="100"/>
    <m/>
  </r>
  <r>
    <d v="2023-05-20T00:00:00"/>
    <x v="4"/>
    <s v="Sourdough with Chicken Hummus"/>
    <x v="2"/>
    <s v="Lunch"/>
    <x v="64"/>
    <n v="1"/>
    <n v="23"/>
    <n v="23"/>
    <s v="Non-Tax Relief Expenses"/>
  </r>
  <r>
    <d v="2023-11-18T00:00:00"/>
    <x v="5"/>
    <s v="Sourdough with Chicken Hummus"/>
    <x v="2"/>
    <s v="Lunch"/>
    <x v="64"/>
    <n v="1"/>
    <n v="23"/>
    <n v="23"/>
    <s v="Non-Tax Relief Expenses"/>
  </r>
  <r>
    <d v="2023-01-17T00:00:00"/>
    <x v="6"/>
    <s v="SSPN Deposit"/>
    <x v="4"/>
    <s v="Investment"/>
    <x v="67"/>
    <n v="1"/>
    <n v="5000"/>
    <n v="5000"/>
    <s v="Net deposit in SSPN"/>
  </r>
  <r>
    <d v="2023-05-07T00:00:00"/>
    <x v="4"/>
    <s v="Suicide Squad"/>
    <x v="1"/>
    <s v="Movies"/>
    <x v="3"/>
    <n v="2"/>
    <n v="17"/>
    <n v="34"/>
    <s v="Non-Tax Relief Expenses"/>
  </r>
  <r>
    <d v="2023-01-24T00:00:00"/>
    <x v="6"/>
    <s v="Sushi"/>
    <x v="2"/>
    <s v="Dinner"/>
    <x v="68"/>
    <n v="1"/>
    <n v="100"/>
    <n v="100"/>
    <s v="Non-Tax Relief Expenses"/>
  </r>
  <r>
    <d v="2023-05-20T00:00:00"/>
    <x v="4"/>
    <s v="Sushi"/>
    <x v="2"/>
    <s v="Dinner"/>
    <x v="69"/>
    <n v="1"/>
    <n v="60"/>
    <n v="60"/>
    <s v="Non-Tax Relief Expenses"/>
  </r>
  <r>
    <d v="2023-07-15T00:00:00"/>
    <x v="7"/>
    <s v="Sushi"/>
    <x v="2"/>
    <s v="Dinner"/>
    <x v="68"/>
    <n v="1"/>
    <n v="100"/>
    <n v="100"/>
    <s v="Non-Tax Relief Expenses"/>
  </r>
  <r>
    <d v="2023-11-18T00:00:00"/>
    <x v="5"/>
    <s v="Sushi"/>
    <x v="2"/>
    <s v="Dinner"/>
    <x v="69"/>
    <n v="1"/>
    <n v="60"/>
    <n v="60"/>
    <s v="Non-Tax Relief Expenses"/>
  </r>
  <r>
    <d v="2023-06-17T00:00:00"/>
    <x v="2"/>
    <s v="Teppanyaki Beef Set"/>
    <x v="2"/>
    <s v="Dinner"/>
    <x v="70"/>
    <n v="2"/>
    <n v="24.9"/>
    <n v="49.8"/>
    <s v="Non-Tax Relief Expenses"/>
  </r>
  <r>
    <d v="2023-12-16T00:00:00"/>
    <x v="3"/>
    <s v="Teppanyaki Beef Set"/>
    <x v="2"/>
    <s v="Dinner"/>
    <x v="70"/>
    <n v="2"/>
    <n v="24.9"/>
    <n v="49.8"/>
    <s v="Non-Tax Relief Expenses"/>
  </r>
  <r>
    <d v="2023-04-02T00:00:00"/>
    <x v="0"/>
    <s v="The Conjuring"/>
    <x v="1"/>
    <s v="Movies"/>
    <x v="3"/>
    <n v="2"/>
    <n v="17"/>
    <n v="34"/>
    <s v="Non-Tax Relief Expenses"/>
  </r>
  <r>
    <d v="2023-07-04T00:00:00"/>
    <x v="7"/>
    <s v="The Super Mario Bros. Movie"/>
    <x v="1"/>
    <s v="Movies"/>
    <x v="3"/>
    <n v="3"/>
    <n v="17"/>
    <n v="51"/>
    <s v="Non-Tax Relief Expenses"/>
  </r>
  <r>
    <d v="2023-03-18T00:00:00"/>
    <x v="8"/>
    <s v="Theme Park Tickets"/>
    <x v="1"/>
    <s v="Theme Park"/>
    <x v="71"/>
    <n v="3"/>
    <n v="150"/>
    <n v="450"/>
    <s v="Non-Tax Relief Expenses"/>
  </r>
  <r>
    <d v="2023-05-21T00:00:00"/>
    <x v="4"/>
    <s v="Train Ticket to Ipoh"/>
    <x v="3"/>
    <s v="Public Transportation"/>
    <x v="72"/>
    <n v="1"/>
    <n v="35"/>
    <n v="35"/>
    <m/>
  </r>
  <r>
    <d v="2023-10-01T00:00:00"/>
    <x v="1"/>
    <s v="Train Ticket to Ipoh"/>
    <x v="3"/>
    <s v="Public Transportation"/>
    <x v="72"/>
    <n v="3"/>
    <n v="35"/>
    <n v="105"/>
    <m/>
  </r>
  <r>
    <d v="2023-05-26T00:00:00"/>
    <x v="4"/>
    <s v="Train Ticket to Kuala Lumpur"/>
    <x v="3"/>
    <s v="Public Transportation"/>
    <x v="72"/>
    <n v="1"/>
    <n v="35"/>
    <n v="35"/>
    <m/>
  </r>
  <r>
    <d v="2023-10-07T00:00:00"/>
    <x v="1"/>
    <s v="Train Ticket to Kuala Lumpur"/>
    <x v="3"/>
    <s v="Public Transportation"/>
    <x v="72"/>
    <n v="3"/>
    <n v="35"/>
    <n v="105"/>
    <m/>
  </r>
  <r>
    <d v="2023-04-15T00:00:00"/>
    <x v="0"/>
    <s v="Wan Tan Mee"/>
    <x v="2"/>
    <s v="Breakfast"/>
    <x v="15"/>
    <n v="3"/>
    <n v="6"/>
    <n v="18"/>
    <s v="Non-Tax Relief Expenses"/>
  </r>
  <r>
    <d v="2023-10-21T00:00:00"/>
    <x v="1"/>
    <s v="Wan Tan Mee"/>
    <x v="2"/>
    <s v="Breakfast"/>
    <x v="15"/>
    <n v="3"/>
    <n v="6"/>
    <n v="18"/>
    <s v="Non-Tax Relief Expenses"/>
  </r>
  <r>
    <d v="2023-01-15T00:00:00"/>
    <x v="6"/>
    <s v="Water Bill"/>
    <x v="6"/>
    <s v="Water"/>
    <x v="73"/>
    <n v="1"/>
    <n v="30"/>
    <n v="30"/>
    <m/>
  </r>
  <r>
    <d v="2023-02-15T00:00:00"/>
    <x v="10"/>
    <s v="Water Bill"/>
    <x v="6"/>
    <s v="Water"/>
    <x v="73"/>
    <n v="1"/>
    <n v="20"/>
    <n v="20"/>
    <m/>
  </r>
  <r>
    <d v="2023-03-15T00:00:00"/>
    <x v="8"/>
    <s v="Water Bill"/>
    <x v="6"/>
    <s v="Water"/>
    <x v="73"/>
    <n v="1"/>
    <n v="35"/>
    <n v="35"/>
    <m/>
  </r>
  <r>
    <d v="2023-04-15T00:00:00"/>
    <x v="0"/>
    <s v="Water Bill"/>
    <x v="6"/>
    <s v="Water"/>
    <x v="73"/>
    <n v="1"/>
    <n v="35"/>
    <n v="35"/>
    <m/>
  </r>
  <r>
    <d v="2023-05-15T00:00:00"/>
    <x v="4"/>
    <s v="Water Bill"/>
    <x v="6"/>
    <s v="Water"/>
    <x v="73"/>
    <n v="1"/>
    <n v="24"/>
    <n v="24"/>
    <m/>
  </r>
  <r>
    <d v="2023-06-15T00:00:00"/>
    <x v="2"/>
    <s v="Water Bill"/>
    <x v="6"/>
    <s v="Water"/>
    <x v="73"/>
    <n v="1"/>
    <n v="28"/>
    <n v="28"/>
    <m/>
  </r>
  <r>
    <d v="2023-07-15T00:00:00"/>
    <x v="7"/>
    <s v="Water Bill"/>
    <x v="6"/>
    <s v="Water"/>
    <x v="73"/>
    <n v="1"/>
    <n v="30"/>
    <n v="30"/>
    <m/>
  </r>
  <r>
    <d v="2023-08-15T00:00:00"/>
    <x v="11"/>
    <s v="Water Bill"/>
    <x v="6"/>
    <s v="Water"/>
    <x v="73"/>
    <n v="1"/>
    <n v="28"/>
    <n v="28"/>
    <m/>
  </r>
  <r>
    <d v="2023-09-15T00:00:00"/>
    <x v="9"/>
    <s v="Water Bill"/>
    <x v="6"/>
    <s v="Water"/>
    <x v="73"/>
    <n v="1"/>
    <n v="29"/>
    <n v="29"/>
    <m/>
  </r>
  <r>
    <d v="2023-10-15T00:00:00"/>
    <x v="1"/>
    <s v="Water Bill"/>
    <x v="6"/>
    <s v="Water"/>
    <x v="73"/>
    <n v="1"/>
    <n v="30"/>
    <n v="30"/>
    <m/>
  </r>
  <r>
    <d v="2023-11-15T00:00:00"/>
    <x v="5"/>
    <s v="Water Bill"/>
    <x v="6"/>
    <s v="Water"/>
    <x v="73"/>
    <n v="1"/>
    <n v="32"/>
    <n v="32"/>
    <m/>
  </r>
  <r>
    <d v="2023-12-15T00:00:00"/>
    <x v="3"/>
    <s v="Water Bill"/>
    <x v="6"/>
    <s v="Water"/>
    <x v="73"/>
    <n v="1"/>
    <n v="33"/>
    <n v="33"/>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6">
  <r>
    <d v="2023-01-01T00:00:00"/>
    <s v="January"/>
    <s v="Fried Chicken"/>
    <s v="Food"/>
    <s v="Breakfast"/>
    <s v="KFC"/>
    <n v="1"/>
    <n v="9.9"/>
    <n v="9.9"/>
    <s v="Non-Tax Relief Expenses"/>
  </r>
  <r>
    <d v="2023-01-01T00:00:00"/>
    <s v="January"/>
    <s v="Grocery Shopping "/>
    <s v="Food"/>
    <s v="Grocery"/>
    <s v="Aeon"/>
    <n v="1"/>
    <n v="790"/>
    <n v="790"/>
    <s v="Non-Tax Relief Expenses"/>
  </r>
  <r>
    <d v="2023-01-02T00:00:00"/>
    <s v="January"/>
    <s v="Chinese cuisine"/>
    <s v="Food"/>
    <s v="Dinner"/>
    <s v="Bai Wei"/>
    <n v="1"/>
    <n v="70"/>
    <n v="70"/>
    <s v="Non-Tax Relief Expenses"/>
  </r>
  <r>
    <d v="2023-01-02T00:00:00"/>
    <s v="January"/>
    <s v="Nasi Lemak"/>
    <s v="Food"/>
    <s v="Lunch"/>
    <s v="Village Park"/>
    <n v="3"/>
    <n v="9"/>
    <n v="27"/>
    <s v="Non-Tax Relief Expenses"/>
  </r>
  <r>
    <d v="2023-01-02T00:00:00"/>
    <s v="January"/>
    <s v="Petrol Refill"/>
    <s v="Transportation"/>
    <s v="Personal"/>
    <s v="Shell"/>
    <n v="1"/>
    <n v="120"/>
    <n v="120"/>
    <s v="Non-Tax Relief Expenses"/>
  </r>
  <r>
    <d v="2023-01-04T00:00:00"/>
    <s v="January"/>
    <s v="Medical Insurance"/>
    <s v="Insurance"/>
    <s v="Medical"/>
    <s v="Great Eastern"/>
    <n v="1"/>
    <n v="1000"/>
    <n v="1000"/>
    <s v="Education and medical insurance"/>
  </r>
  <r>
    <d v="2023-01-05T00:00:00"/>
    <s v="January"/>
    <s v="House Loan"/>
    <s v="Housing"/>
    <s v="Mortgage"/>
    <s v="Public Bank"/>
    <n v="1"/>
    <n v="1600"/>
    <n v="1600"/>
    <s v="Non-Tax Relief Expenses"/>
  </r>
  <r>
    <d v="2023-01-08T00:00:00"/>
    <s v="January"/>
    <s v="Childcare Fee"/>
    <s v="Education"/>
    <s v="Childcare"/>
    <s v="Little Legends"/>
    <n v="1"/>
    <n v="600"/>
    <n v="600"/>
    <s v="Kindergarden (6yo and below)"/>
  </r>
  <r>
    <d v="2023-01-09T00:00:00"/>
    <s v="January"/>
    <s v="Hunger Games"/>
    <s v="Entertainment"/>
    <s v="Movies"/>
    <s v="TGV"/>
    <n v="2"/>
    <n v="17"/>
    <n v="34"/>
    <s v="Non-Tax Relief Expenses"/>
  </r>
  <r>
    <d v="2023-01-09T00:00:00"/>
    <s v="January"/>
    <s v="Mineral Water"/>
    <s v="Food"/>
    <s v="Lunch"/>
    <s v="TGV"/>
    <n v="2"/>
    <n v="2"/>
    <n v="4"/>
    <s v="Non-Tax Relief Expenses"/>
  </r>
  <r>
    <d v="2023-01-10T00:00:00"/>
    <s v="January"/>
    <s v="Burger"/>
    <s v="Food"/>
    <s v="Breakfast"/>
    <s v="MCD"/>
    <n v="3"/>
    <n v="15"/>
    <n v="45"/>
    <s v="Non-Tax Relief Expenses"/>
  </r>
  <r>
    <d v="2023-01-10T00:00:00"/>
    <s v="January"/>
    <s v="Chee Cheong Fun"/>
    <s v="Food"/>
    <s v="Lunch"/>
    <s v="Sg Long Restaurant"/>
    <n v="3"/>
    <n v="6"/>
    <n v="18"/>
    <s v="Non-Tax Relief Expenses"/>
  </r>
  <r>
    <d v="2023-01-10T00:00:00"/>
    <s v="January"/>
    <s v="EPF Contribution"/>
    <s v="Investment"/>
    <s v="Retirement"/>
    <s v="EPF"/>
    <n v="1"/>
    <n v="1100"/>
    <n v="1100"/>
    <s v="EPF"/>
  </r>
  <r>
    <d v="2023-01-10T00:00:00"/>
    <s v="January"/>
    <s v="Korean BBQ"/>
    <s v="Food"/>
    <s v="Dinner"/>
    <s v="Daorae"/>
    <n v="3"/>
    <n v="35"/>
    <n v="105"/>
    <s v="Non-Tax Relief Expenses"/>
  </r>
  <r>
    <d v="2023-01-10T00:00:00"/>
    <s v="January"/>
    <s v="SOCSO Contribution"/>
    <s v="Investment"/>
    <s v="Social Security"/>
    <s v="SOCSO"/>
    <n v="1"/>
    <n v="100"/>
    <n v="100"/>
    <s v="Contribution to SOCSO"/>
  </r>
  <r>
    <d v="2023-01-15T00:00:00"/>
    <s v="January"/>
    <s v="Grocery Shopping "/>
    <s v="Food"/>
    <s v="Grocery"/>
    <s v="Aeon"/>
    <n v="1"/>
    <n v="755"/>
    <n v="755"/>
    <s v="Non-Tax Relief Expenses"/>
  </r>
  <r>
    <d v="2023-01-15T00:00:00"/>
    <s v="January"/>
    <s v="Water Bill"/>
    <s v="Utilities"/>
    <s v="Water"/>
    <s v="Air Selangor"/>
    <n v="1"/>
    <n v="30"/>
    <n v="30"/>
    <s v="Non-Tax Relief Expenses"/>
  </r>
  <r>
    <d v="2023-01-17T00:00:00"/>
    <s v="January"/>
    <s v="Life Insurance"/>
    <s v="Insurance"/>
    <s v="Life"/>
    <s v="Great Eastern"/>
    <n v="1"/>
    <n v="3500"/>
    <n v="3500"/>
    <s v="Life Insurance"/>
  </r>
  <r>
    <d v="2023-01-17T00:00:00"/>
    <s v="January"/>
    <s v="SSPN Deposit"/>
    <s v="Education"/>
    <s v="Investment"/>
    <s v="SSPN Bank"/>
    <n v="1"/>
    <n v="5000"/>
    <n v="5000"/>
    <s v="Net deposit in SSPN"/>
  </r>
  <r>
    <d v="2023-01-18T00:00:00"/>
    <s v="January"/>
    <s v="Educational Insurance"/>
    <s v="Insurance"/>
    <s v="Education"/>
    <s v="Great Eastern"/>
    <n v="1"/>
    <n v="600"/>
    <n v="600"/>
    <s v="Education and medical insurance"/>
  </r>
  <r>
    <d v="2023-01-20T00:00:00"/>
    <s v="January"/>
    <s v="Car Loan"/>
    <s v="Transportation"/>
    <s v="Loan"/>
    <s v="Public Bank"/>
    <n v="1"/>
    <n v="1200"/>
    <n v="1200"/>
    <s v="Non-Tax Relief Expenses"/>
  </r>
  <r>
    <d v="2023-01-23T00:00:00"/>
    <s v="January"/>
    <s v="Concert Tickets"/>
    <s v="Entertainment"/>
    <s v="Concert"/>
    <s v="Live Nation"/>
    <n v="2"/>
    <n v="200"/>
    <n v="400"/>
    <s v="Non-Tax Relief Expenses"/>
  </r>
  <r>
    <d v="2023-01-23T00:00:00"/>
    <s v="January"/>
    <s v="MyCity Pass 1-Day"/>
    <s v="Transportation"/>
    <s v="Public Transportation"/>
    <s v="Rapid KL"/>
    <n v="3"/>
    <n v="5"/>
    <n v="15"/>
    <s v="Non-Tax Relief Expenses"/>
  </r>
  <r>
    <d v="2023-01-24T00:00:00"/>
    <s v="January"/>
    <s v="Bread"/>
    <s v="Food"/>
    <s v="Lunch"/>
    <s v="Aeon"/>
    <n v="3"/>
    <n v="3"/>
    <n v="9"/>
    <s v="Non-Tax Relief Expenses"/>
  </r>
  <r>
    <d v="2023-01-24T00:00:00"/>
    <s v="January"/>
    <s v="Chicken Rice"/>
    <s v="Food"/>
    <s v="Breakfast"/>
    <s v="Chicken Rice Shop"/>
    <n v="1"/>
    <n v="6.5"/>
    <n v="6.5"/>
    <s v="Non-Tax Relief Expenses"/>
  </r>
  <r>
    <d v="2023-01-24T00:00:00"/>
    <s v="January"/>
    <s v="Private Retirement Scheme (PRS)"/>
    <s v="Investment"/>
    <s v="Retirement"/>
    <s v="Public Mutual"/>
    <n v="1"/>
    <n v="500"/>
    <n v="500"/>
    <s v="PRS"/>
  </r>
  <r>
    <d v="2023-01-24T00:00:00"/>
    <s v="January"/>
    <s v="Sushi"/>
    <s v="Food"/>
    <s v="Dinner"/>
    <s v="Sushi King"/>
    <n v="1"/>
    <n v="100"/>
    <n v="100"/>
    <s v="Non-Tax Relief Expenses"/>
  </r>
  <r>
    <d v="2023-01-25T00:00:00"/>
    <s v="January"/>
    <s v="Electric Bill"/>
    <s v="Utilities"/>
    <s v="Electric "/>
    <s v="TNB"/>
    <n v="1"/>
    <n v="84.5"/>
    <n v="84.5"/>
    <s v="Non-Tax Relief Expenses"/>
  </r>
  <r>
    <d v="2023-01-26T00:00:00"/>
    <s v="January"/>
    <s v="Internet Subscription"/>
    <s v="Utilities"/>
    <s v="Internet"/>
    <s v="TIME"/>
    <n v="1"/>
    <n v="100"/>
    <n v="100"/>
    <s v="Lifestyle(books/personal smart device/sports equipment/internet bill)"/>
  </r>
  <r>
    <d v="2023-02-01T00:00:00"/>
    <s v="February"/>
    <s v="Grocery Shopping "/>
    <s v="Food"/>
    <s v="Grocery"/>
    <s v="Aeon"/>
    <n v="1"/>
    <n v="778"/>
    <n v="778"/>
    <s v="Non-Tax Relief Expenses"/>
  </r>
  <r>
    <d v="2023-02-04T00:00:00"/>
    <s v="February"/>
    <s v="Char Kuey Teow"/>
    <s v="Food"/>
    <s v="Breakfast"/>
    <s v="Robert's Char Kuey Teow"/>
    <n v="2"/>
    <n v="6"/>
    <n v="12"/>
    <s v="Non-Tax Relief Expenses"/>
  </r>
  <r>
    <d v="2023-02-04T00:00:00"/>
    <s v="February"/>
    <s v="Roti Telur"/>
    <s v="Food"/>
    <s v="Dinner"/>
    <s v="Mamak"/>
    <n v="3"/>
    <n v="3"/>
    <n v="9"/>
    <s v="Non-Tax Relief Expenses"/>
  </r>
  <r>
    <d v="2023-02-04T00:00:00"/>
    <s v="February"/>
    <s v="Shawarma"/>
    <s v="Food"/>
    <s v="Lunch"/>
    <s v="Al-Amar"/>
    <n v="2"/>
    <n v="8"/>
    <n v="16"/>
    <s v="Non-Tax Relief Expenses"/>
  </r>
  <r>
    <d v="2023-02-05T00:00:00"/>
    <s v="February"/>
    <s v="House Loan"/>
    <s v="Housing"/>
    <s v="Mortgage"/>
    <s v="Public Bank"/>
    <n v="1"/>
    <n v="1600"/>
    <n v="1600"/>
    <s v="Non-Tax Relief Expenses"/>
  </r>
  <r>
    <d v="2023-02-06T00:00:00"/>
    <s v="February"/>
    <s v="Frozen"/>
    <s v="Entertainment"/>
    <s v="Movies"/>
    <s v="TGV"/>
    <n v="3"/>
    <n v="17"/>
    <n v="51"/>
    <s v="Non-Tax Relief Expenses"/>
  </r>
  <r>
    <d v="2023-02-07T00:00:00"/>
    <s v="February"/>
    <s v="New Laptop"/>
    <s v="Electronics"/>
    <s v="Laptop"/>
    <s v="MSI"/>
    <n v="1"/>
    <n v="5000"/>
    <n v="5000"/>
    <s v="Lifestyle(books/personal smart device/sports equipment/internet bill)"/>
  </r>
  <r>
    <d v="2023-02-08T00:00:00"/>
    <s v="February"/>
    <s v="Childcare Fee"/>
    <s v="Education"/>
    <s v="Childcare"/>
    <s v="Little Legends"/>
    <n v="1"/>
    <n v="600"/>
    <n v="600"/>
    <s v="Kindergarden (6yo and below)"/>
  </r>
  <r>
    <d v="2023-02-08T00:00:00"/>
    <s v="February"/>
    <s v="Petrol Refill"/>
    <s v="Transportation"/>
    <s v="Personal"/>
    <s v="Shell"/>
    <n v="1"/>
    <n v="120"/>
    <n v="120"/>
    <s v="Non-Tax Relief Expenses"/>
  </r>
  <r>
    <d v="2023-02-10T00:00:00"/>
    <s v="February"/>
    <s v="EPF Contribution"/>
    <s v="Investment"/>
    <s v="Retirement"/>
    <s v="EPF"/>
    <n v="1"/>
    <n v="1100"/>
    <n v="1100"/>
    <s v="EPF"/>
  </r>
  <r>
    <d v="2023-02-10T00:00:00"/>
    <s v="February"/>
    <s v="Parking Fee "/>
    <s v="Transportation"/>
    <s v="Personal"/>
    <s v="TRX"/>
    <n v="1"/>
    <n v="5"/>
    <n v="5"/>
    <s v="Non-Tax Relief Expenses"/>
  </r>
  <r>
    <d v="2023-02-10T00:00:00"/>
    <s v="February"/>
    <s v="SOCSO Contribution"/>
    <s v="Investment"/>
    <s v="Social Security"/>
    <s v="SOCSO"/>
    <n v="1"/>
    <n v="100"/>
    <n v="100"/>
    <s v="Contribution to SOCSO"/>
  </r>
  <r>
    <d v="2023-02-11T00:00:00"/>
    <s v="February"/>
    <s v="Economy Rice"/>
    <s v="Food"/>
    <s v="Lunch"/>
    <s v="Mr B"/>
    <n v="2"/>
    <n v="6"/>
    <n v="12"/>
    <s v="Non-Tax Relief Expenses"/>
  </r>
  <r>
    <d v="2023-02-11T00:00:00"/>
    <s v="February"/>
    <s v="Egg Tart"/>
    <s v="Food"/>
    <s v="Breakfast"/>
    <s v="TK Bakery"/>
    <n v="3"/>
    <n v="4"/>
    <n v="12"/>
    <s v="Non-Tax Relief Expenses"/>
  </r>
  <r>
    <d v="2023-02-11T00:00:00"/>
    <s v="February"/>
    <s v="Pizza"/>
    <s v="Food"/>
    <s v="Dinner"/>
    <s v="Pizza Hut"/>
    <n v="1"/>
    <n v="50"/>
    <n v="50"/>
    <s v="Non-Tax Relief Expenses"/>
  </r>
  <r>
    <d v="2023-02-15T00:00:00"/>
    <s v="February"/>
    <s v="Grocery Shopping "/>
    <s v="Food"/>
    <s v="Grocery"/>
    <s v="Aeon"/>
    <n v="1"/>
    <n v="750"/>
    <n v="750"/>
    <s v="Non-Tax Relief Expenses"/>
  </r>
  <r>
    <d v="2023-02-15T00:00:00"/>
    <s v="February"/>
    <s v="Water Bill"/>
    <s v="Utilities"/>
    <s v="Water"/>
    <s v="Air Selangor"/>
    <n v="1"/>
    <n v="20"/>
    <n v="20"/>
    <s v="Non-Tax Relief Expenses"/>
  </r>
  <r>
    <d v="2023-02-18T00:00:00"/>
    <s v="February"/>
    <s v="Burger"/>
    <s v="Food"/>
    <s v="Breakfast"/>
    <s v="Burger King"/>
    <n v="1"/>
    <n v="16.5"/>
    <n v="16.5"/>
    <s v="Non-Tax Relief Expenses"/>
  </r>
  <r>
    <d v="2023-02-18T00:00:00"/>
    <s v="February"/>
    <s v="Laksa"/>
    <s v="Food"/>
    <s v="Lunch"/>
    <s v="D'Laksa"/>
    <n v="3"/>
    <n v="10"/>
    <n v="30"/>
    <s v="Non-Tax Relief Expenses"/>
  </r>
  <r>
    <d v="2023-02-18T00:00:00"/>
    <s v="February"/>
    <s v="Lemon Tea"/>
    <s v="Food"/>
    <s v="Lunch"/>
    <s v="D'Laksa"/>
    <n v="2"/>
    <n v="3"/>
    <n v="6"/>
    <s v="Non-Tax Relief Expenses"/>
  </r>
  <r>
    <d v="2023-02-20T00:00:00"/>
    <s v="February"/>
    <s v="Car Loan"/>
    <s v="Transportation"/>
    <s v="Loan"/>
    <s v="Public Bank"/>
    <n v="1"/>
    <n v="1200"/>
    <n v="1200"/>
    <s v="Non-Tax Relief Expenses"/>
  </r>
  <r>
    <d v="2023-02-20T00:00:00"/>
    <s v="February"/>
    <s v="PS5 Console"/>
    <s v="Electronics"/>
    <s v="Gaming"/>
    <s v="GameStop"/>
    <n v="1"/>
    <n v="2000"/>
    <n v="2000"/>
    <s v="Non-Tax Relief Expenses"/>
  </r>
  <r>
    <d v="2023-02-22T00:00:00"/>
    <s v="February"/>
    <s v="Petrol Refill"/>
    <s v="Transportation"/>
    <s v="Personal"/>
    <s v="Shell"/>
    <n v="1"/>
    <n v="100"/>
    <n v="100"/>
    <s v="Non-Tax Relief Expenses"/>
  </r>
  <r>
    <d v="2023-02-24T00:00:00"/>
    <s v="February"/>
    <s v="Private Retirement Scheme (PRS)"/>
    <s v="Investment"/>
    <s v="Retirement"/>
    <s v="Public Mutual"/>
    <n v="1"/>
    <n v="500"/>
    <n v="500"/>
    <s v="PRS"/>
  </r>
  <r>
    <d v="2023-02-25T00:00:00"/>
    <s v="February"/>
    <s v="Electric Bill"/>
    <s v="Utilities"/>
    <s v="Electric "/>
    <s v="TNB"/>
    <n v="1"/>
    <n v="80"/>
    <n v="80"/>
    <s v="Non-Tax Relief Expenses"/>
  </r>
  <r>
    <d v="2023-02-27T00:00:00"/>
    <s v="February"/>
    <s v="Internet Subscription"/>
    <s v="Utilities"/>
    <s v="Internet"/>
    <s v="TIME"/>
    <n v="1"/>
    <n v="100"/>
    <n v="100"/>
    <s v="Lifestyle(books/personal smart device/sports equipment/internet bill)"/>
  </r>
  <r>
    <d v="2023-03-01T00:00:00"/>
    <s v="March"/>
    <s v="Grocery Shopping "/>
    <s v="Food"/>
    <s v="Grocery"/>
    <s v="Aeon"/>
    <n v="1"/>
    <n v="730"/>
    <n v="730"/>
    <s v="Non-Tax Relief Expenses"/>
  </r>
  <r>
    <d v="2023-03-04T00:00:00"/>
    <s v="March"/>
    <s v="Dim Sum"/>
    <s v="Food"/>
    <s v="Breakfast"/>
    <s v="Ming Court "/>
    <n v="1"/>
    <n v="60"/>
    <n v="60"/>
    <s v="Non-Tax Relief Expenses"/>
  </r>
  <r>
    <d v="2023-03-04T00:00:00"/>
    <s v="March"/>
    <s v="Endgame"/>
    <s v="Entertainment"/>
    <s v="Movies"/>
    <s v="TGV"/>
    <n v="2"/>
    <n v="17"/>
    <n v="34"/>
    <s v="Non-Tax Relief Expenses"/>
  </r>
  <r>
    <d v="2023-03-04T00:00:00"/>
    <s v="March"/>
    <s v="Noodle Soup"/>
    <s v="Food"/>
    <s v="Dinner"/>
    <s v="Mee Tarik"/>
    <n v="3"/>
    <n v="8"/>
    <n v="24"/>
    <s v="Non-Tax Relief Expenses"/>
  </r>
  <r>
    <d v="2023-03-04T00:00:00"/>
    <s v="March"/>
    <s v="Penang Prawn Mee"/>
    <s v="Food"/>
    <s v="Lunch"/>
    <s v="Ah Kooi Hokkien Mee"/>
    <n v="2"/>
    <n v="8"/>
    <n v="16"/>
    <s v="Non-Tax Relief Expenses"/>
  </r>
  <r>
    <d v="2023-03-05T00:00:00"/>
    <s v="March"/>
    <s v="House Loan"/>
    <s v="Housing"/>
    <s v="Mortgage"/>
    <s v="Public Bank"/>
    <n v="1"/>
    <n v="1600"/>
    <n v="1600"/>
    <s v="Non-Tax Relief Expenses"/>
  </r>
  <r>
    <d v="2023-03-06T00:00:00"/>
    <s v="March"/>
    <s v="Petrol Refill"/>
    <s v="Transportation"/>
    <s v="Personal"/>
    <s v="Shell"/>
    <n v="1"/>
    <n v="100"/>
    <n v="100"/>
    <s v="Non-Tax Relief Expenses"/>
  </r>
  <r>
    <d v="2023-03-08T00:00:00"/>
    <s v="March"/>
    <s v="Childcare Fee"/>
    <s v="Education"/>
    <s v="Childcare"/>
    <s v="Little Legends"/>
    <n v="1"/>
    <n v="600"/>
    <n v="600"/>
    <s v="Kindergarden (6yo and below)"/>
  </r>
  <r>
    <d v="2023-03-10T00:00:00"/>
    <s v="March"/>
    <s v="EPF Contribution"/>
    <s v="Investment"/>
    <s v="Retirement"/>
    <s v="EPF"/>
    <n v="1"/>
    <n v="1100"/>
    <n v="1100"/>
    <s v="EPF"/>
  </r>
  <r>
    <d v="2023-03-10T00:00:00"/>
    <s v="March"/>
    <s v="SOCSO Contribution"/>
    <s v="Investment"/>
    <s v="Social Security"/>
    <s v="SOCSO"/>
    <n v="1"/>
    <n v="100"/>
    <n v="100"/>
    <s v="Contribution to SOCSO"/>
  </r>
  <r>
    <d v="2023-03-11T00:00:00"/>
    <s v="March"/>
    <s v="Chicken Chop"/>
    <s v="Food"/>
    <s v="Dinner"/>
    <s v="Charlie's Café"/>
    <n v="3"/>
    <n v="10"/>
    <n v="30"/>
    <s v="Non-Tax Relief Expenses"/>
  </r>
  <r>
    <d v="2023-03-11T00:00:00"/>
    <s v="March"/>
    <s v="Iced Cola"/>
    <s v="Food"/>
    <s v="Dinner"/>
    <s v="Charlie's Café"/>
    <n v="3"/>
    <n v="3"/>
    <n v="9"/>
    <s v="Non-Tax Relief Expenses"/>
  </r>
  <r>
    <d v="2023-03-11T00:00:00"/>
    <s v="March"/>
    <s v="Ramen"/>
    <s v="Food"/>
    <s v="Lunch"/>
    <s v="Kanbe"/>
    <n v="2"/>
    <n v="25"/>
    <n v="50"/>
    <s v="Non-Tax Relief Expenses"/>
  </r>
  <r>
    <d v="2023-03-15T00:00:00"/>
    <s v="March"/>
    <s v="Grocery Shopping "/>
    <s v="Food"/>
    <s v="Grocery"/>
    <s v="Aeon"/>
    <n v="1"/>
    <n v="750"/>
    <n v="750"/>
    <s v="Non-Tax Relief Expenses"/>
  </r>
  <r>
    <d v="2023-03-15T00:00:00"/>
    <s v="March"/>
    <s v="Water Bill"/>
    <s v="Utilities"/>
    <s v="Water"/>
    <s v="Air Selangor"/>
    <n v="1"/>
    <n v="35"/>
    <n v="35"/>
    <s v="Non-Tax Relief Expenses"/>
  </r>
  <r>
    <d v="2023-03-18T00:00:00"/>
    <s v="March"/>
    <s v="Buffet"/>
    <s v="Food"/>
    <s v="Dinner"/>
    <s v="Mookata"/>
    <n v="3"/>
    <n v="29.9"/>
    <n v="89.7"/>
    <s v="Non-Tax Relief Expenses"/>
  </r>
  <r>
    <d v="2023-03-18T00:00:00"/>
    <s v="March"/>
    <s v="Fried Rice"/>
    <s v="Food"/>
    <s v="Lunch"/>
    <s v="Fire City"/>
    <n v="3"/>
    <n v="7"/>
    <n v="21"/>
    <s v="Non-Tax Relief Expenses"/>
  </r>
  <r>
    <d v="2023-03-18T00:00:00"/>
    <s v="March"/>
    <s v="Nasi Lemak"/>
    <s v="Food"/>
    <s v="Breakfast"/>
    <s v="Sg Long Restaurant"/>
    <n v="2"/>
    <n v="4"/>
    <n v="8"/>
    <s v="Non-Tax Relief Expenses"/>
  </r>
  <r>
    <d v="2023-03-18T00:00:00"/>
    <s v="March"/>
    <s v="Theme Park Tickets"/>
    <s v="Entertainment"/>
    <s v="Theme Park"/>
    <s v="Genting Group"/>
    <n v="3"/>
    <n v="150"/>
    <n v="450"/>
    <s v="Non-Tax Relief Expenses"/>
  </r>
  <r>
    <d v="2023-03-20T00:00:00"/>
    <s v="March"/>
    <s v="Car Loan"/>
    <s v="Transportation"/>
    <s v="Loan"/>
    <s v="Public Bank"/>
    <n v="1"/>
    <n v="1200"/>
    <n v="1200"/>
    <s v="Non-Tax Relief Expenses"/>
  </r>
  <r>
    <d v="2023-03-20T00:00:00"/>
    <s v="March"/>
    <s v="Petrol Refill"/>
    <s v="Transportation"/>
    <s v="Personal"/>
    <s v="Shell"/>
    <n v="1"/>
    <n v="110"/>
    <n v="110"/>
    <s v="Non-Tax Relief Expenses"/>
  </r>
  <r>
    <d v="2023-03-24T00:00:00"/>
    <s v="March"/>
    <s v="Private Retirement Scheme (PRS)"/>
    <s v="Investment"/>
    <s v="Retirement"/>
    <s v="Public Mutual"/>
    <n v="1"/>
    <n v="500"/>
    <n v="500"/>
    <s v="PRS"/>
  </r>
  <r>
    <d v="2023-03-25T00:00:00"/>
    <s v="March"/>
    <s v="Electric Bill"/>
    <s v="Utilities"/>
    <s v="Electric "/>
    <s v="TNB"/>
    <n v="1"/>
    <n v="85"/>
    <n v="85"/>
    <s v="Non-Tax Relief Expenses"/>
  </r>
  <r>
    <d v="2023-03-26T00:00:00"/>
    <s v="March"/>
    <s v="Internet Subscription"/>
    <s v="Utilities"/>
    <s v="Internet"/>
    <s v="TIME"/>
    <n v="1"/>
    <n v="100"/>
    <n v="100"/>
    <s v="Lifestyle(books/personal smart device/sports equipment/internet bill)"/>
  </r>
  <r>
    <d v="2023-04-01T00:00:00"/>
    <s v="April"/>
    <s v="Boba Tea"/>
    <s v="Food"/>
    <s v="Lunch"/>
    <s v="Tealive"/>
    <n v="2"/>
    <n v="11.9"/>
    <n v="23.8"/>
    <s v="Non-Tax Relief Expenses"/>
  </r>
  <r>
    <d v="2023-04-01T00:00:00"/>
    <s v="April"/>
    <s v="Economy Rice"/>
    <s v="Food"/>
    <s v="Lunch"/>
    <s v="Mr B"/>
    <n v="3"/>
    <n v="5"/>
    <n v="15"/>
    <s v="Non-Tax Relief Expenses"/>
  </r>
  <r>
    <d v="2023-04-01T00:00:00"/>
    <s v="April"/>
    <s v="Grocery Shopping "/>
    <s v="Food"/>
    <s v="Grocery"/>
    <s v="Aeon"/>
    <n v="1"/>
    <n v="800"/>
    <n v="800"/>
    <s v="Non-Tax Relief Expenses"/>
  </r>
  <r>
    <d v="2023-04-01T00:00:00"/>
    <s v="April"/>
    <s v="Nasi Lemak"/>
    <s v="Food"/>
    <s v="Dinner"/>
    <s v="KFD"/>
    <n v="3"/>
    <n v="8"/>
    <n v="24"/>
    <s v="Non-Tax Relief Expenses"/>
  </r>
  <r>
    <d v="2023-04-02T00:00:00"/>
    <s v="April"/>
    <s v="The Conjuring"/>
    <s v="Entertainment"/>
    <s v="Movies"/>
    <s v="TGV"/>
    <n v="2"/>
    <n v="17"/>
    <n v="34"/>
    <s v="Non-Tax Relief Expenses"/>
  </r>
  <r>
    <d v="2023-04-04T00:00:00"/>
    <s v="April"/>
    <s v="Petrol Refill"/>
    <s v="Transportation"/>
    <s v="Personal"/>
    <s v="Shell"/>
    <n v="1"/>
    <n v="80"/>
    <n v="80"/>
    <s v="Non-Tax Relief Expenses"/>
  </r>
  <r>
    <d v="2023-04-05T00:00:00"/>
    <s v="April"/>
    <s v="House Loan"/>
    <s v="Housing"/>
    <s v="Mortgage"/>
    <s v="Public Bank"/>
    <n v="1"/>
    <n v="1600"/>
    <n v="1600"/>
    <s v="Non-Tax Relief Expenses"/>
  </r>
  <r>
    <d v="2023-04-08T00:00:00"/>
    <s v="April"/>
    <s v="Burger"/>
    <s v="Food"/>
    <s v="Dinner"/>
    <s v="Ramly Burger"/>
    <n v="3"/>
    <n v="5.5"/>
    <n v="16.5"/>
    <s v="Non-Tax Relief Expenses"/>
  </r>
  <r>
    <d v="2023-04-08T00:00:00"/>
    <s v="April"/>
    <s v="Char Kuey Teow"/>
    <s v="Food"/>
    <s v="Breakfast"/>
    <s v="Robert's Char Kuey Teow"/>
    <n v="2"/>
    <n v="6"/>
    <n v="12"/>
    <s v="Non-Tax Relief Expenses"/>
  </r>
  <r>
    <d v="2023-04-08T00:00:00"/>
    <s v="April"/>
    <s v="Childcare Fee"/>
    <s v="Education"/>
    <s v="Childcare"/>
    <s v="Little Legends"/>
    <n v="1"/>
    <n v="600"/>
    <n v="600"/>
    <s v="Kindergarden (6yo and below)"/>
  </r>
  <r>
    <d v="2023-04-08T00:00:00"/>
    <s v="April"/>
    <s v="Shawarma"/>
    <s v="Food"/>
    <s v="Lunch"/>
    <s v="Al-Amar"/>
    <n v="2"/>
    <n v="8"/>
    <n v="16"/>
    <s v="Non-Tax Relief Expenses"/>
  </r>
  <r>
    <d v="2023-04-10T00:00:00"/>
    <s v="April"/>
    <s v="EPF Contribution"/>
    <s v="Investment"/>
    <s v="Retirement"/>
    <s v="EPF"/>
    <n v="1"/>
    <n v="1100"/>
    <n v="1100"/>
    <s v="EPF"/>
  </r>
  <r>
    <d v="2023-04-10T00:00:00"/>
    <s v="April"/>
    <s v="SOCSO Contribution"/>
    <s v="Investment"/>
    <s v="Social Security"/>
    <s v="SOCSO"/>
    <n v="1"/>
    <n v="100"/>
    <n v="100"/>
    <s v="Contribution to SOCSO"/>
  </r>
  <r>
    <d v="2023-04-15T00:00:00"/>
    <s v="April"/>
    <s v="Cake"/>
    <s v="Food"/>
    <s v="Lunch"/>
    <s v="Secret Recipe"/>
    <n v="3"/>
    <n v="9"/>
    <n v="27"/>
    <s v="Non-Tax Relief Expenses"/>
  </r>
  <r>
    <d v="2023-04-15T00:00:00"/>
    <s v="April"/>
    <s v="Grocery Shopping "/>
    <s v="Food"/>
    <s v="Grocery"/>
    <s v="Aeon"/>
    <n v="1"/>
    <n v="769"/>
    <n v="769"/>
    <s v="Non-Tax Relief Expenses"/>
  </r>
  <r>
    <d v="2023-04-15T00:00:00"/>
    <s v="April"/>
    <s v="Nasi Ayam Kukus"/>
    <s v="Food"/>
    <s v="Dinner"/>
    <s v="Wawa"/>
    <n v="3"/>
    <n v="6"/>
    <n v="18"/>
    <s v="Non-Tax Relief Expenses"/>
  </r>
  <r>
    <d v="2023-04-15T00:00:00"/>
    <s v="April"/>
    <s v="Wan Tan Mee"/>
    <s v="Food"/>
    <s v="Breakfast"/>
    <s v="Sg Long Restaurant"/>
    <n v="3"/>
    <n v="6"/>
    <n v="18"/>
    <s v="Non-Tax Relief Expenses"/>
  </r>
  <r>
    <d v="2023-04-15T00:00:00"/>
    <s v="April"/>
    <s v="Water Bill"/>
    <s v="Utilities"/>
    <s v="Water"/>
    <s v="Air Selangor"/>
    <n v="1"/>
    <n v="35"/>
    <n v="35"/>
    <s v="Non-Tax Relief Expenses"/>
  </r>
  <r>
    <d v="2023-04-16T00:00:00"/>
    <s v="April"/>
    <s v="Karaoke Night"/>
    <s v="Entertainment"/>
    <s v="Music"/>
    <s v="Red Box"/>
    <n v="3"/>
    <n v="30"/>
    <n v="90"/>
    <s v="Non-Tax Relief Expenses"/>
  </r>
  <r>
    <d v="2023-04-18T00:00:00"/>
    <s v="April"/>
    <s v="Petrol Refill"/>
    <s v="Transportation"/>
    <s v="Personal"/>
    <s v="Shell"/>
    <n v="1"/>
    <n v="120"/>
    <n v="120"/>
    <s v="Non-Tax Relief Expenses"/>
  </r>
  <r>
    <d v="2023-04-20T00:00:00"/>
    <s v="April"/>
    <s v="Annual Medical Checkup"/>
    <s v="Health"/>
    <s v="Examination"/>
    <s v="Pantai Hospital"/>
    <n v="1"/>
    <n v="300"/>
    <n v="300"/>
    <s v="Medical Examination(self/spouse/child)"/>
  </r>
  <r>
    <d v="2023-04-20T00:00:00"/>
    <s v="April"/>
    <s v="Car Loan"/>
    <s v="Transportation"/>
    <s v="Loan"/>
    <s v="Public Bank"/>
    <n v="1"/>
    <n v="1200"/>
    <n v="1200"/>
    <s v="Non-Tax Relief Expenses"/>
  </r>
  <r>
    <d v="2023-04-20T00:00:00"/>
    <s v="April"/>
    <s v="Parking Fee "/>
    <s v="Transportation"/>
    <s v="Personal"/>
    <s v="Pavilion"/>
    <n v="1"/>
    <n v="4"/>
    <n v="4"/>
    <s v="Non-Tax Relief Expenses"/>
  </r>
  <r>
    <d v="2023-04-23T00:00:00"/>
    <s v="April"/>
    <s v="Gym Equipment"/>
    <s v="Health"/>
    <s v="Fitness"/>
    <s v="HF Lifestyle"/>
    <n v="2"/>
    <n v="1250"/>
    <n v="2500"/>
    <s v="Lifestyle(books/personal smart device/sports equipment/internet bill)"/>
  </r>
  <r>
    <d v="2023-04-24T00:00:00"/>
    <s v="April"/>
    <s v="Private Retirement Scheme (PRS)"/>
    <s v="Investment"/>
    <s v="Retirement"/>
    <s v="Public Mutual"/>
    <n v="1"/>
    <n v="500"/>
    <n v="500"/>
    <s v="PRS"/>
  </r>
  <r>
    <d v="2023-04-25T00:00:00"/>
    <s v="April"/>
    <s v="Electric Bill"/>
    <s v="Utilities"/>
    <s v="Electric "/>
    <s v="TNB"/>
    <n v="1"/>
    <n v="84"/>
    <n v="84"/>
    <s v="Non-Tax Relief Expenses"/>
  </r>
  <r>
    <d v="2023-04-26T00:00:00"/>
    <s v="April"/>
    <s v="Internet Subscription"/>
    <s v="Utilities"/>
    <s v="Internet"/>
    <s v="TIME"/>
    <n v="1"/>
    <n v="100"/>
    <n v="100"/>
    <s v="Lifestyle(books/personal smart device/sports equipment/internet bill)"/>
  </r>
  <r>
    <d v="2023-05-01T00:00:00"/>
    <s v="May"/>
    <s v="Grocery Shopping "/>
    <s v="Food"/>
    <s v="Grocery"/>
    <s v="Aeon"/>
    <n v="1"/>
    <n v="804"/>
    <n v="804"/>
    <s v="Non-Tax Relief Expenses"/>
  </r>
  <r>
    <d v="2023-05-05T00:00:00"/>
    <s v="May"/>
    <s v="House Loan"/>
    <s v="Housing"/>
    <s v="Mortgage"/>
    <s v="Public Bank"/>
    <n v="1"/>
    <n v="1600"/>
    <n v="1600"/>
    <s v="Non-Tax Relief Expenses"/>
  </r>
  <r>
    <d v="2023-05-06T00:00:00"/>
    <s v="May"/>
    <s v="Curry Noodle"/>
    <s v="Food"/>
    <s v="Lunch"/>
    <s v="Yee Fatt"/>
    <n v="3"/>
    <n v="7"/>
    <n v="21"/>
    <s v="Non-Tax Relief Expenses"/>
  </r>
  <r>
    <d v="2023-05-06T00:00:00"/>
    <s v="May"/>
    <s v="Dim Sum"/>
    <s v="Food"/>
    <s v="Breakfast"/>
    <s v="Ming Court "/>
    <n v="1"/>
    <n v="60"/>
    <n v="60"/>
    <s v="Non-Tax Relief Expenses"/>
  </r>
  <r>
    <d v="2023-05-06T00:00:00"/>
    <s v="May"/>
    <s v="Satay"/>
    <s v="Food"/>
    <s v="Dinner"/>
    <s v="Satay Kajang"/>
    <n v="1"/>
    <n v="20"/>
    <n v="20"/>
    <s v="Non-Tax Relief Expenses"/>
  </r>
  <r>
    <d v="2023-05-07T00:00:00"/>
    <s v="May"/>
    <s v="Highway Toll Fees"/>
    <s v="Transportation"/>
    <s v="Personal"/>
    <s v="PLUS"/>
    <n v="1"/>
    <n v="25"/>
    <n v="25"/>
    <s v="Non-Tax Relief Expenses"/>
  </r>
  <r>
    <d v="2023-05-07T00:00:00"/>
    <s v="May"/>
    <s v="Suicide Squad"/>
    <s v="Entertainment"/>
    <s v="Movies"/>
    <s v="TGV"/>
    <n v="2"/>
    <n v="17"/>
    <n v="34"/>
    <s v="Non-Tax Relief Expenses"/>
  </r>
  <r>
    <d v="2023-05-08T00:00:00"/>
    <s v="May"/>
    <s v="Childcare Fee"/>
    <s v="Education"/>
    <s v="Childcare"/>
    <s v="Little Legends"/>
    <n v="1"/>
    <n v="600"/>
    <n v="600"/>
    <s v="Kindergarden (6yo and below)"/>
  </r>
  <r>
    <d v="2023-05-08T00:00:00"/>
    <s v="May"/>
    <s v="Petrol Refill"/>
    <s v="Transportation"/>
    <s v="Personal"/>
    <s v="Shell"/>
    <n v="1"/>
    <n v="120"/>
    <n v="120"/>
    <s v="Non-Tax Relief Expenses"/>
  </r>
  <r>
    <d v="2023-05-10T00:00:00"/>
    <s v="May"/>
    <s v="EPF Contribution"/>
    <s v="Investment"/>
    <s v="Retirement"/>
    <s v="EPF"/>
    <n v="1"/>
    <n v="1100"/>
    <n v="1100"/>
    <s v="EPF"/>
  </r>
  <r>
    <d v="2023-05-10T00:00:00"/>
    <s v="May"/>
    <s v="SOCSO Contribution"/>
    <s v="Investment"/>
    <s v="Social Security"/>
    <s v="SOCSO"/>
    <n v="1"/>
    <n v="100"/>
    <n v="100"/>
    <s v="Contribution to SOCSO"/>
  </r>
  <r>
    <d v="2023-05-13T00:00:00"/>
    <s v="May"/>
    <s v="Boba Tea"/>
    <s v="Food"/>
    <s v="Lunch"/>
    <s v="Tealive"/>
    <n v="2"/>
    <n v="11.9"/>
    <n v="23.8"/>
    <s v="Non-Tax Relief Expenses"/>
  </r>
  <r>
    <d v="2023-05-13T00:00:00"/>
    <s v="May"/>
    <s v="Chee Cheong Fun"/>
    <s v="Food"/>
    <s v="Breakfast"/>
    <s v="Sg Long Restaurant"/>
    <n v="2"/>
    <n v="6"/>
    <n v="12"/>
    <s v="Non-Tax Relief Expenses"/>
  </r>
  <r>
    <d v="2023-05-13T00:00:00"/>
    <s v="May"/>
    <s v="Mexican Cuisine"/>
    <s v="Food"/>
    <s v="Dinner"/>
    <s v="Chica Bonita"/>
    <n v="1"/>
    <n v="100"/>
    <n v="100"/>
    <s v="Non-Tax Relief Expenses"/>
  </r>
  <r>
    <d v="2023-05-15T00:00:00"/>
    <s v="May"/>
    <s v="Grocery Shopping "/>
    <s v="Food"/>
    <s v="Grocery"/>
    <s v="Aeon"/>
    <n v="1"/>
    <n v="788"/>
    <n v="788"/>
    <s v="Non-Tax Relief Expenses"/>
  </r>
  <r>
    <d v="2023-05-15T00:00:00"/>
    <s v="May"/>
    <s v="Water Bill"/>
    <s v="Utilities"/>
    <s v="Water"/>
    <s v="Air Selangor"/>
    <n v="1"/>
    <n v="24"/>
    <n v="24"/>
    <s v="Non-Tax Relief Expenses"/>
  </r>
  <r>
    <d v="2023-05-20T00:00:00"/>
    <s v="May"/>
    <s v="Car Loan"/>
    <s v="Transportation"/>
    <s v="Loan"/>
    <s v="Public Bank"/>
    <n v="1"/>
    <n v="1200"/>
    <n v="1200"/>
    <s v="Non-Tax Relief Expenses"/>
  </r>
  <r>
    <d v="2023-05-20T00:00:00"/>
    <s v="May"/>
    <s v="SeaFoodPasta"/>
    <s v="Food"/>
    <s v="Lunch"/>
    <s v="House of Wheat"/>
    <n v="1"/>
    <n v="27"/>
    <n v="27"/>
    <s v="Non-Tax Relief Expenses"/>
  </r>
  <r>
    <d v="2023-05-20T00:00:00"/>
    <s v="May"/>
    <s v="Sourdough with Chicken Hummus"/>
    <s v="Food"/>
    <s v="Lunch"/>
    <s v="House of Wheat"/>
    <n v="1"/>
    <n v="23"/>
    <n v="23"/>
    <s v="Non-Tax Relief Expenses"/>
  </r>
  <r>
    <d v="2023-05-20T00:00:00"/>
    <s v="May"/>
    <s v="Sushi"/>
    <s v="Food"/>
    <s v="Dinner"/>
    <s v="Sushi Zanmai"/>
    <n v="1"/>
    <n v="60"/>
    <n v="60"/>
    <s v="Non-Tax Relief Expenses"/>
  </r>
  <r>
    <d v="2023-05-21T00:00:00"/>
    <s v="May"/>
    <s v="Gaming Mouse"/>
    <s v="Electronics"/>
    <s v="Gaming"/>
    <s v="Logitech"/>
    <n v="1"/>
    <n v="100"/>
    <n v="100"/>
    <s v="Non-Tax Relief Expenses"/>
  </r>
  <r>
    <d v="2023-05-21T00:00:00"/>
    <s v="May"/>
    <s v="Train Ticket to Ipoh"/>
    <s v="Transportation"/>
    <s v="Public Transportation"/>
    <s v="KTMB"/>
    <n v="1"/>
    <n v="35"/>
    <n v="35"/>
    <s v="Non-Tax Relief Expenses"/>
  </r>
  <r>
    <d v="2023-05-24T00:00:00"/>
    <s v="May"/>
    <s v="Private Retirement Scheme (PRS)"/>
    <s v="Investment"/>
    <s v="Retirement"/>
    <s v="Public Mutual"/>
    <n v="1"/>
    <n v="500"/>
    <n v="500"/>
    <s v="PRS"/>
  </r>
  <r>
    <d v="2023-05-25T00:00:00"/>
    <s v="May"/>
    <s v="Electric Bill"/>
    <s v="Utilities"/>
    <s v="Electric "/>
    <s v="TNB"/>
    <n v="1"/>
    <n v="90"/>
    <n v="90"/>
    <s v="Non-Tax Relief Expenses"/>
  </r>
  <r>
    <d v="2023-05-26T00:00:00"/>
    <s v="May"/>
    <s v="Train Ticket to Kuala Lumpur"/>
    <s v="Transportation"/>
    <s v="Public Transportation"/>
    <s v="KTMB"/>
    <n v="1"/>
    <n v="35"/>
    <n v="35"/>
    <s v="Non-Tax Relief Expenses"/>
  </r>
  <r>
    <d v="2023-05-27T00:00:00"/>
    <s v="May"/>
    <s v="Internet Subscription"/>
    <s v="Utilities"/>
    <s v="Internet"/>
    <s v="TIME"/>
    <n v="1"/>
    <n v="100"/>
    <n v="100"/>
    <s v="Lifestyle(books/personal smart device/sports equipment/internet bill)"/>
  </r>
  <r>
    <d v="2023-06-01T00:00:00"/>
    <s v="June"/>
    <s v="Grocery Shopping "/>
    <s v="Food"/>
    <s v="Grocery"/>
    <s v="Aeon"/>
    <n v="1"/>
    <n v="730"/>
    <n v="730"/>
    <s v="Non-Tax Relief Expenses"/>
  </r>
  <r>
    <d v="2023-06-03T00:00:00"/>
    <s v="June"/>
    <s v="Banglo 289 Breakfast"/>
    <s v="Food"/>
    <s v="Breakfast"/>
    <s v="Banglo 289"/>
    <n v="1"/>
    <n v="20"/>
    <n v="20"/>
    <s v="Non-Tax Relief Expenses"/>
  </r>
  <r>
    <d v="2023-06-03T00:00:00"/>
    <s v="June"/>
    <s v="Coffee"/>
    <s v="Food"/>
    <s v="Lunch"/>
    <s v="Starbucks"/>
    <n v="2"/>
    <n v="16"/>
    <n v="32"/>
    <s v="Non-Tax Relief Expenses"/>
  </r>
  <r>
    <d v="2023-06-03T00:00:00"/>
    <s v="June"/>
    <s v="Lempeng Pisang"/>
    <s v="Food"/>
    <s v="Breakfast"/>
    <s v="Banglo 289"/>
    <n v="1"/>
    <n v="5.5"/>
    <n v="5.5"/>
    <s v="Non-Tax Relief Expenses"/>
  </r>
  <r>
    <d v="2023-06-05T00:00:00"/>
    <s v="June"/>
    <s v="House Loan"/>
    <s v="Housing"/>
    <s v="Mortgage"/>
    <s v="Public Bank"/>
    <n v="1"/>
    <n v="1600"/>
    <n v="1600"/>
    <s v="Non-Tax Relief Expenses"/>
  </r>
  <r>
    <d v="2023-06-05T00:00:00"/>
    <s v="June"/>
    <s v="New Phone"/>
    <s v="Electronics"/>
    <s v="Phone"/>
    <s v="Apple Store"/>
    <n v="1"/>
    <n v="4000"/>
    <n v="4000"/>
    <s v="Lifestyle(books/personal smart device/sports equipment/internet bill)"/>
  </r>
  <r>
    <d v="2023-06-08T00:00:00"/>
    <s v="June"/>
    <s v="Childcare Fee"/>
    <s v="Education"/>
    <s v="Childcare"/>
    <s v="Little Legends"/>
    <n v="1"/>
    <n v="600"/>
    <n v="600"/>
    <s v="Kindergarden (6yo and below)"/>
  </r>
  <r>
    <d v="2023-06-08T00:00:00"/>
    <s v="June"/>
    <s v="Comedy Show Tickets"/>
    <s v="Entertainment"/>
    <s v="Comedy"/>
    <s v="The Joke Factory"/>
    <n v="3"/>
    <n v="60"/>
    <n v="180"/>
    <s v="Non-Tax Relief Expenses"/>
  </r>
  <r>
    <d v="2023-06-08T00:00:00"/>
    <s v="June"/>
    <s v="Petrol Refill"/>
    <s v="Transportation"/>
    <s v="Personal"/>
    <s v="Shell"/>
    <n v="1"/>
    <n v="100"/>
    <n v="100"/>
    <s v="Non-Tax Relief Expenses"/>
  </r>
  <r>
    <d v="2023-06-10T00:00:00"/>
    <s v="June"/>
    <s v="BBQ Short Ribs"/>
    <s v="Food"/>
    <s v="Dinner"/>
    <s v="The Steakhouse Kl"/>
    <n v="1"/>
    <n v="129"/>
    <n v="129"/>
    <s v="Non-Tax Relief Expenses"/>
  </r>
  <r>
    <d v="2023-06-10T00:00:00"/>
    <s v="June"/>
    <s v="EPF Contribution"/>
    <s v="Investment"/>
    <s v="Retirement"/>
    <s v="EPF"/>
    <n v="1"/>
    <n v="1100"/>
    <n v="1100"/>
    <s v="EPF"/>
  </r>
  <r>
    <d v="2023-06-10T00:00:00"/>
    <s v="June"/>
    <s v="Nasi Lemak"/>
    <s v="Food"/>
    <s v="Lunch"/>
    <s v="Village Park"/>
    <n v="3"/>
    <n v="9"/>
    <n v="27"/>
    <s v="Non-Tax Relief Expenses"/>
  </r>
  <r>
    <d v="2023-06-10T00:00:00"/>
    <s v="June"/>
    <s v="Norwegian Fresh Salmon"/>
    <s v="Food"/>
    <s v="Dinner"/>
    <s v="The Steakhouse Kl"/>
    <n v="1"/>
    <n v="99"/>
    <n v="99"/>
    <s v="Non-Tax Relief Expenses"/>
  </r>
  <r>
    <d v="2023-06-10T00:00:00"/>
    <s v="June"/>
    <s v="SOCSO Contribution"/>
    <s v="Investment"/>
    <s v="Social Security"/>
    <s v="SOCSO"/>
    <n v="1"/>
    <n v="100"/>
    <n v="100"/>
    <s v="Contribution to SOCSO"/>
  </r>
  <r>
    <d v="2023-06-15T00:00:00"/>
    <s v="June"/>
    <s v="Grocery Shopping "/>
    <s v="Food"/>
    <s v="Grocery"/>
    <s v="Aeon"/>
    <n v="1"/>
    <n v="810"/>
    <n v="810"/>
    <s v="Non-Tax Relief Expenses"/>
  </r>
  <r>
    <d v="2023-06-15T00:00:00"/>
    <s v="June"/>
    <s v="Water Bill"/>
    <s v="Utilities"/>
    <s v="Water"/>
    <s v="Air Selangor"/>
    <n v="1"/>
    <n v="28"/>
    <n v="28"/>
    <s v="Non-Tax Relief Expenses"/>
  </r>
  <r>
    <d v="2023-06-17T00:00:00"/>
    <s v="June"/>
    <s v="Curry Noodle"/>
    <s v="Food"/>
    <s v="Breakfast"/>
    <s v="Yee Fatt"/>
    <n v="3"/>
    <n v="7"/>
    <n v="21"/>
    <s v="Non-Tax Relief Expenses"/>
  </r>
  <r>
    <d v="2023-06-17T00:00:00"/>
    <s v="June"/>
    <s v="Economy Rice"/>
    <s v="Food"/>
    <s v="Lunch"/>
    <s v="Mr B"/>
    <n v="3"/>
    <n v="6"/>
    <n v="18"/>
    <s v="Non-Tax Relief Expenses"/>
  </r>
  <r>
    <d v="2023-06-17T00:00:00"/>
    <s v="June"/>
    <s v="Teppanyaki Beef Set"/>
    <s v="Food"/>
    <s v="Dinner"/>
    <s v="Teppanyaki"/>
    <n v="2"/>
    <n v="24.9"/>
    <n v="49.8"/>
    <s v="Non-Tax Relief Expenses"/>
  </r>
  <r>
    <d v="2023-06-20T00:00:00"/>
    <s v="June"/>
    <s v="Car Loan"/>
    <s v="Transportation"/>
    <s v="Loan"/>
    <s v="Public Bank"/>
    <n v="1"/>
    <n v="1200"/>
    <n v="1200"/>
    <s v="Non-Tax Relief Expenses"/>
  </r>
  <r>
    <d v="2023-06-22T00:00:00"/>
    <s v="June"/>
    <s v="Board Game "/>
    <s v="Entertainment"/>
    <s v="Gaming"/>
    <s v="Toys&quot;R&quot;Us"/>
    <n v="1"/>
    <n v="30"/>
    <n v="30"/>
    <s v="Non-Tax Relief Expenses"/>
  </r>
  <r>
    <d v="2023-06-22T00:00:00"/>
    <s v="June"/>
    <s v="Parking Fee "/>
    <s v="Transportation"/>
    <s v="Personal"/>
    <s v="Pavilion"/>
    <n v="1"/>
    <n v="4"/>
    <n v="4"/>
    <s v="Non-Tax Relief Expenses"/>
  </r>
  <r>
    <d v="2023-06-24T00:00:00"/>
    <s v="June"/>
    <s v="Petrol Refill"/>
    <s v="Transportation"/>
    <s v="Personal"/>
    <s v="Shell"/>
    <n v="1"/>
    <n v="120"/>
    <n v="120"/>
    <s v="Non-Tax Relief Expenses"/>
  </r>
  <r>
    <d v="2023-06-24T00:00:00"/>
    <s v="June"/>
    <s v="Private Retirement Scheme (PRS)"/>
    <s v="Investment"/>
    <s v="Retirement"/>
    <s v="Public Mutual"/>
    <n v="1"/>
    <n v="500"/>
    <n v="500"/>
    <s v="PRS"/>
  </r>
  <r>
    <d v="2023-06-25T00:00:00"/>
    <s v="June"/>
    <s v="Electric Bill"/>
    <s v="Utilities"/>
    <s v="Electric "/>
    <s v="TNB"/>
    <n v="1"/>
    <n v="70"/>
    <n v="70"/>
    <s v="Non-Tax Relief Expenses"/>
  </r>
  <r>
    <d v="2023-06-27T00:00:00"/>
    <s v="June"/>
    <s v="Internet Subscription"/>
    <s v="Utilities"/>
    <s v="Internet"/>
    <s v="TIME"/>
    <n v="1"/>
    <n v="100"/>
    <n v="100"/>
    <s v="Lifestyle(books/personal smart device/sports equipment/internet bill)"/>
  </r>
  <r>
    <d v="2023-07-01T00:00:00"/>
    <s v="July"/>
    <s v="Chinese cuisine"/>
    <s v="Food"/>
    <s v="Dinner"/>
    <s v="Bai Wei"/>
    <n v="1"/>
    <n v="70"/>
    <n v="70"/>
    <s v="Non-Tax Relief Expenses"/>
  </r>
  <r>
    <d v="2023-07-01T00:00:00"/>
    <s v="July"/>
    <s v="Fried Chicken"/>
    <s v="Food"/>
    <s v="Breakfast"/>
    <s v="KFC"/>
    <n v="1"/>
    <n v="9.9"/>
    <n v="9.9"/>
    <s v="Non-Tax Relief Expenses"/>
  </r>
  <r>
    <d v="2023-07-01T00:00:00"/>
    <s v="July"/>
    <s v="Grocery Shopping "/>
    <s v="Food"/>
    <s v="Grocery"/>
    <s v="Aeon"/>
    <n v="1"/>
    <n v="790"/>
    <n v="790"/>
    <s v="Non-Tax Relief Expenses"/>
  </r>
  <r>
    <d v="2023-07-01T00:00:00"/>
    <s v="July"/>
    <s v="Nasi Lemak"/>
    <s v="Food"/>
    <s v="Lunch"/>
    <s v="Village Park"/>
    <n v="3"/>
    <n v="9"/>
    <n v="27"/>
    <s v="Non-Tax Relief Expenses"/>
  </r>
  <r>
    <d v="2023-07-04T00:00:00"/>
    <s v="July"/>
    <s v="Medical Insurance"/>
    <s v="Insurance"/>
    <s v="Medical"/>
    <s v="Great Eastern"/>
    <n v="1"/>
    <n v="1000"/>
    <n v="1000"/>
    <s v="Education and medical insurance"/>
  </r>
  <r>
    <d v="2023-07-04T00:00:00"/>
    <s v="July"/>
    <s v="The Super Mario Bros. Movie"/>
    <s v="Entertainment"/>
    <s v="Movies"/>
    <s v="TGV"/>
    <n v="3"/>
    <n v="17"/>
    <n v="51"/>
    <s v="Non-Tax Relief Expenses"/>
  </r>
  <r>
    <d v="2023-07-05T00:00:00"/>
    <s v="July"/>
    <s v="House Loan"/>
    <s v="Housing"/>
    <s v="Mortgage"/>
    <s v="Public Bank"/>
    <n v="1"/>
    <n v="1600"/>
    <n v="1600"/>
    <s v="Non-Tax Relief Expenses"/>
  </r>
  <r>
    <d v="2023-07-07T00:00:00"/>
    <s v="July"/>
    <s v="MyCity Pass 1-Day"/>
    <s v="Transportation"/>
    <s v="Public Transportation"/>
    <s v="Rapid KL"/>
    <n v="3"/>
    <n v="5"/>
    <n v="15"/>
    <s v="Non-Tax Relief Expenses"/>
  </r>
  <r>
    <d v="2023-07-08T00:00:00"/>
    <s v="July"/>
    <s v="Burger"/>
    <s v="Food"/>
    <s v="Breakfast"/>
    <s v="MCD"/>
    <n v="3"/>
    <n v="15"/>
    <n v="45"/>
    <s v="Non-Tax Relief Expenses"/>
  </r>
  <r>
    <d v="2023-07-08T00:00:00"/>
    <s v="July"/>
    <s v="Chee Cheong Fun"/>
    <s v="Food"/>
    <s v="Lunch"/>
    <s v="Sg Long Restaurant"/>
    <n v="3"/>
    <n v="6"/>
    <n v="18"/>
    <s v="Non-Tax Relief Expenses"/>
  </r>
  <r>
    <d v="2023-07-08T00:00:00"/>
    <s v="July"/>
    <s v="Childcare Fee"/>
    <s v="Education"/>
    <s v="Childcare"/>
    <s v="Little Legends"/>
    <n v="1"/>
    <n v="600"/>
    <n v="600"/>
    <s v="Kindergarden (6yo and below)"/>
  </r>
  <r>
    <d v="2023-07-08T00:00:00"/>
    <s v="July"/>
    <s v="Korean BBQ"/>
    <s v="Food"/>
    <s v="Dinner"/>
    <s v="Daorae"/>
    <n v="3"/>
    <n v="35"/>
    <n v="105"/>
    <s v="Non-Tax Relief Expenses"/>
  </r>
  <r>
    <d v="2023-07-09T00:00:00"/>
    <s v="July"/>
    <s v="Parking Fee "/>
    <s v="Transportation"/>
    <s v="Personal"/>
    <s v="Aeon"/>
    <n v="1"/>
    <n v="1"/>
    <n v="1"/>
    <s v="Non-Tax Relief Expenses"/>
  </r>
  <r>
    <d v="2023-07-10T00:00:00"/>
    <s v="July"/>
    <s v="EPF Contribution"/>
    <s v="Investment"/>
    <s v="Retirement"/>
    <s v="EPF"/>
    <n v="1"/>
    <n v="1100"/>
    <n v="1100"/>
    <s v="EPF"/>
  </r>
  <r>
    <d v="2023-07-10T00:00:00"/>
    <s v="July"/>
    <s v="SOCSO Contribution"/>
    <s v="Investment"/>
    <s v="Social Security"/>
    <s v="SOCSO"/>
    <n v="1"/>
    <n v="100"/>
    <n v="100"/>
    <s v="Contribution to SOCSO"/>
  </r>
  <r>
    <d v="2023-07-15T00:00:00"/>
    <s v="July"/>
    <s v="Bread"/>
    <s v="Food"/>
    <s v="Lunch"/>
    <s v="Aeon"/>
    <n v="3"/>
    <n v="3"/>
    <n v="9"/>
    <s v="Non-Tax Relief Expenses"/>
  </r>
  <r>
    <d v="2023-07-15T00:00:00"/>
    <s v="July"/>
    <s v="Chicken Rice"/>
    <s v="Food"/>
    <s v="Breakfast"/>
    <s v="Chicken Rice Shop"/>
    <n v="1"/>
    <n v="6.5"/>
    <n v="6.5"/>
    <s v="Non-Tax Relief Expenses"/>
  </r>
  <r>
    <d v="2023-07-15T00:00:00"/>
    <s v="July"/>
    <s v="Grocery Shopping "/>
    <s v="Food"/>
    <s v="Grocery"/>
    <s v="Aeon"/>
    <n v="1"/>
    <n v="755"/>
    <n v="755"/>
    <s v="Non-Tax Relief Expenses"/>
  </r>
  <r>
    <d v="2023-07-15T00:00:00"/>
    <s v="July"/>
    <s v="Sushi"/>
    <s v="Food"/>
    <s v="Dinner"/>
    <s v="Sushi King"/>
    <n v="1"/>
    <n v="100"/>
    <n v="100"/>
    <s v="Non-Tax Relief Expenses"/>
  </r>
  <r>
    <d v="2023-07-15T00:00:00"/>
    <s v="July"/>
    <s v="Water Bill"/>
    <s v="Utilities"/>
    <s v="Water"/>
    <s v="Air Selangor"/>
    <n v="1"/>
    <n v="30"/>
    <n v="30"/>
    <s v="Non-Tax Relief Expenses"/>
  </r>
  <r>
    <d v="2023-07-17T00:00:00"/>
    <s v="July"/>
    <s v="Life Insurance"/>
    <s v="Insurance"/>
    <s v="Life"/>
    <s v="Great Eastern"/>
    <n v="1"/>
    <n v="3500"/>
    <n v="3500"/>
    <s v="Life Insurance"/>
  </r>
  <r>
    <d v="2023-07-17T00:00:00"/>
    <s v="July"/>
    <s v="Petrol Refill"/>
    <s v="Transportation"/>
    <s v="Personal"/>
    <s v="Shell"/>
    <n v="1"/>
    <n v="110"/>
    <n v="110"/>
    <s v="Non-Tax Relief Expenses"/>
  </r>
  <r>
    <d v="2023-07-19T00:00:00"/>
    <s v="July"/>
    <s v="Educational Insurance"/>
    <s v="Insurance"/>
    <s v="Education"/>
    <s v="Great Eastern"/>
    <n v="1"/>
    <n v="600"/>
    <n v="600"/>
    <s v="Education and medical insurance"/>
  </r>
  <r>
    <d v="2023-07-20T00:00:00"/>
    <s v="July"/>
    <s v="Car Loan"/>
    <s v="Transportation"/>
    <s v="Loan"/>
    <s v="Public Bank"/>
    <n v="1"/>
    <n v="1200"/>
    <n v="1200"/>
    <s v="Non-Tax Relief Expenses"/>
  </r>
  <r>
    <d v="2023-07-24T00:00:00"/>
    <s v="July"/>
    <s v="Private Retirement Scheme (PRS)"/>
    <s v="Investment"/>
    <s v="Retirement"/>
    <s v="Public Mutual"/>
    <n v="1"/>
    <n v="500"/>
    <n v="500"/>
    <s v="PRS"/>
  </r>
  <r>
    <d v="2023-07-25T00:00:00"/>
    <s v="July"/>
    <s v="Electric Bill"/>
    <s v="Utilities"/>
    <s v="Electric "/>
    <s v="TNB"/>
    <n v="1"/>
    <n v="75"/>
    <n v="75"/>
    <s v="Non-Tax Relief Expenses"/>
  </r>
  <r>
    <d v="2023-07-27T00:00:00"/>
    <s v="July"/>
    <s v="Internet Subscription"/>
    <s v="Utilities"/>
    <s v="Internet"/>
    <s v="TIME"/>
    <n v="1"/>
    <n v="100"/>
    <n v="100"/>
    <s v="Lifestyle(books/personal smart device/sports equipment/internet bill)"/>
  </r>
  <r>
    <d v="2023-07-28T00:00:00"/>
    <s v="July"/>
    <s v="Escape Room"/>
    <s v="Entertainment"/>
    <s v="Adventure"/>
    <s v="Puzzle Planet"/>
    <n v="2"/>
    <n v="64.5"/>
    <n v="129"/>
    <s v="Non-Tax Relief Expenses"/>
  </r>
  <r>
    <d v="2023-08-01T00:00:00"/>
    <s v="August"/>
    <s v="Grocery Shopping "/>
    <s v="Food"/>
    <s v="Grocery"/>
    <s v="Aeon"/>
    <n v="1"/>
    <n v="778"/>
    <n v="778"/>
    <s v="Non-Tax Relief Expenses"/>
  </r>
  <r>
    <d v="2023-08-05T00:00:00"/>
    <s v="August"/>
    <s v="Char Kuey Teow"/>
    <s v="Food"/>
    <s v="Breakfast"/>
    <s v="Robert's Char Kuey Teow"/>
    <n v="2"/>
    <n v="6"/>
    <n v="12"/>
    <s v="Non-Tax Relief Expenses"/>
  </r>
  <r>
    <d v="2023-08-05T00:00:00"/>
    <s v="August"/>
    <s v="House Loan"/>
    <s v="Housing"/>
    <s v="Mortgage"/>
    <s v="Public Bank"/>
    <n v="1"/>
    <n v="1600"/>
    <n v="1600"/>
    <s v="Non-Tax Relief Expenses"/>
  </r>
  <r>
    <d v="2023-08-05T00:00:00"/>
    <s v="August"/>
    <s v="Roti Telur"/>
    <s v="Food"/>
    <s v="Dinner"/>
    <s v="Mamak"/>
    <n v="3"/>
    <n v="3"/>
    <n v="9"/>
    <s v="Non-Tax Relief Expenses"/>
  </r>
  <r>
    <d v="2023-08-05T00:00:00"/>
    <s v="August"/>
    <s v="Shawarma"/>
    <s v="Food"/>
    <s v="Lunch"/>
    <s v="Al-Amar"/>
    <n v="2"/>
    <n v="8"/>
    <n v="16"/>
    <s v="Non-Tax Relief Expenses"/>
  </r>
  <r>
    <d v="2023-08-07T00:00:00"/>
    <s v="August"/>
    <s v="Karaoke Night"/>
    <s v="Entertainment"/>
    <s v="Music"/>
    <s v="Red Box"/>
    <n v="3"/>
    <n v="30"/>
    <n v="90"/>
    <s v="Non-Tax Relief Expenses"/>
  </r>
  <r>
    <d v="2023-08-08T00:00:00"/>
    <s v="August"/>
    <s v="Childcare Fee"/>
    <s v="Education"/>
    <s v="Childcare"/>
    <s v="Little Legends"/>
    <n v="1"/>
    <n v="600"/>
    <n v="600"/>
    <s v="Kindergarden (6yo and below)"/>
  </r>
  <r>
    <d v="2023-08-08T00:00:00"/>
    <s v="August"/>
    <s v="Petrol Refill"/>
    <s v="Transportation"/>
    <s v="Personal"/>
    <s v="Shell"/>
    <n v="1"/>
    <n v="110"/>
    <n v="110"/>
    <s v="Non-Tax Relief Expenses"/>
  </r>
  <r>
    <d v="2023-08-10T00:00:00"/>
    <s v="August"/>
    <s v="EPF Contribution"/>
    <s v="Investment"/>
    <s v="Retirement"/>
    <s v="EPF"/>
    <n v="1"/>
    <n v="1100"/>
    <n v="1100"/>
    <s v="EPF"/>
  </r>
  <r>
    <d v="2023-08-10T00:00:00"/>
    <s v="August"/>
    <s v="SOCSO Contribution"/>
    <s v="Investment"/>
    <s v="Social Security"/>
    <s v="SOCSO"/>
    <n v="1"/>
    <n v="100"/>
    <n v="100"/>
    <s v="Contribution to SOCSO"/>
  </r>
  <r>
    <d v="2023-08-12T00:00:00"/>
    <s v="August"/>
    <s v="Economy Rice"/>
    <s v="Food"/>
    <s v="Lunch"/>
    <s v="Mr B"/>
    <n v="2"/>
    <n v="6"/>
    <n v="12"/>
    <s v="Non-Tax Relief Expenses"/>
  </r>
  <r>
    <d v="2023-08-12T00:00:00"/>
    <s v="August"/>
    <s v="Egg Tart"/>
    <s v="Food"/>
    <s v="Breakfast"/>
    <s v="TK Bakery"/>
    <n v="3"/>
    <n v="4"/>
    <n v="12"/>
    <s v="Non-Tax Relief Expenses"/>
  </r>
  <r>
    <d v="2023-08-12T00:00:00"/>
    <s v="August"/>
    <s v="Pizza"/>
    <s v="Food"/>
    <s v="Dinner"/>
    <s v="Pizza Hut"/>
    <n v="1"/>
    <n v="50"/>
    <n v="50"/>
    <s v="Non-Tax Relief Expenses"/>
  </r>
  <r>
    <d v="2023-08-15T00:00:00"/>
    <s v="August"/>
    <s v="Grocery Shopping "/>
    <s v="Food"/>
    <s v="Grocery"/>
    <s v="Aeon"/>
    <n v="1"/>
    <n v="750"/>
    <n v="750"/>
    <s v="Non-Tax Relief Expenses"/>
  </r>
  <r>
    <d v="2023-08-15T00:00:00"/>
    <s v="August"/>
    <s v="Water Bill"/>
    <s v="Utilities"/>
    <s v="Water"/>
    <s v="Air Selangor"/>
    <n v="1"/>
    <n v="28"/>
    <n v="28"/>
    <s v="Non-Tax Relief Expenses"/>
  </r>
  <r>
    <d v="2023-08-19T00:00:00"/>
    <s v="August"/>
    <s v="Burger"/>
    <s v="Food"/>
    <s v="Breakfast"/>
    <s v="Burger King"/>
    <n v="1"/>
    <n v="16.5"/>
    <n v="16.5"/>
    <s v="Non-Tax Relief Expenses"/>
  </r>
  <r>
    <d v="2023-08-19T00:00:00"/>
    <s v="August"/>
    <s v="Laksa"/>
    <s v="Food"/>
    <s v="Lunch"/>
    <s v="D'Laksa"/>
    <n v="3"/>
    <n v="10"/>
    <n v="30"/>
    <s v="Non-Tax Relief Expenses"/>
  </r>
  <r>
    <d v="2023-08-19T00:00:00"/>
    <s v="August"/>
    <s v="Lemon Tea"/>
    <s v="Food"/>
    <s v="Lunch"/>
    <s v="D'Laksa"/>
    <n v="2"/>
    <n v="3"/>
    <n v="6"/>
    <s v="Non-Tax Relief Expenses"/>
  </r>
  <r>
    <d v="2023-08-20T00:00:00"/>
    <s v="August"/>
    <s v="Car Loan"/>
    <s v="Transportation"/>
    <s v="Loan"/>
    <s v="Public Bank"/>
    <n v="1"/>
    <n v="1200"/>
    <n v="1200"/>
    <s v="Non-Tax Relief Expenses"/>
  </r>
  <r>
    <d v="2023-08-20T00:00:00"/>
    <s v="August"/>
    <s v="Petrol Refill"/>
    <s v="Transportation"/>
    <s v="Personal"/>
    <s v="Shell"/>
    <n v="1"/>
    <n v="110"/>
    <n v="110"/>
    <s v="Non-Tax Relief Expenses"/>
  </r>
  <r>
    <d v="2023-08-21T00:00:00"/>
    <s v="August"/>
    <s v="Comic Fiesta Saturday Pass"/>
    <s v="Entertainment"/>
    <s v="Event"/>
    <s v="Comic Fiesta"/>
    <n v="3"/>
    <n v="50"/>
    <n v="150"/>
    <s v="Non-Tax Relief Expenses"/>
  </r>
  <r>
    <d v="2023-08-23T00:00:00"/>
    <s v="August"/>
    <s v="Highway Toll Fees"/>
    <s v="Transportation"/>
    <s v="Personal"/>
    <s v="PLUS"/>
    <n v="1"/>
    <n v="35"/>
    <n v="35"/>
    <s v="Non-Tax Relief Expenses"/>
  </r>
  <r>
    <d v="2023-08-24T00:00:00"/>
    <s v="August"/>
    <s v="Private Retirement Scheme (PRS)"/>
    <s v="Investment"/>
    <s v="Retirement"/>
    <s v="Public Mutual"/>
    <n v="1"/>
    <n v="500"/>
    <n v="500"/>
    <s v="PRS"/>
  </r>
  <r>
    <d v="2023-08-25T00:00:00"/>
    <s v="August"/>
    <s v="Electric Bill"/>
    <s v="Utilities"/>
    <s v="Electric "/>
    <s v="TNB"/>
    <n v="1"/>
    <n v="80"/>
    <n v="80"/>
    <s v="Non-Tax Relief Expenses"/>
  </r>
  <r>
    <d v="2023-08-26T00:00:00"/>
    <s v="August"/>
    <s v="Internet Subscription"/>
    <s v="Utilities"/>
    <s v="Internet"/>
    <s v="TIME"/>
    <n v="1"/>
    <n v="100"/>
    <n v="100"/>
    <s v="Lifestyle(books/personal smart device/sports equipment/internet bill)"/>
  </r>
  <r>
    <d v="2023-09-01T00:00:00"/>
    <s v="September"/>
    <s v="Grocery Shopping "/>
    <s v="Food"/>
    <s v="Grocery"/>
    <s v="Aeon"/>
    <n v="1"/>
    <n v="730"/>
    <n v="730"/>
    <s v="Non-Tax Relief Expenses"/>
  </r>
  <r>
    <d v="2023-09-02T00:00:00"/>
    <s v="September"/>
    <s v="Dim Sum"/>
    <s v="Food"/>
    <s v="Breakfast"/>
    <s v="Ming Court "/>
    <n v="1"/>
    <n v="60"/>
    <n v="60"/>
    <s v="Non-Tax Relief Expenses"/>
  </r>
  <r>
    <d v="2023-09-02T00:00:00"/>
    <s v="September"/>
    <s v="Noodle Soup"/>
    <s v="Food"/>
    <s v="Dinner"/>
    <s v="Mee Tarik"/>
    <n v="3"/>
    <n v="8"/>
    <n v="24"/>
    <s v="Non-Tax Relief Expenses"/>
  </r>
  <r>
    <d v="2023-09-02T00:00:00"/>
    <s v="September"/>
    <s v="Penang Prawn Mee"/>
    <s v="Food"/>
    <s v="Lunch"/>
    <s v="Ah Kooi Hokkien Mee"/>
    <n v="2"/>
    <n v="8"/>
    <n v="16"/>
    <s v="Non-Tax Relief Expenses"/>
  </r>
  <r>
    <d v="2023-09-05T00:00:00"/>
    <s v="September"/>
    <s v="House Loan"/>
    <s v="Housing"/>
    <s v="Mortgage"/>
    <s v="Public Bank"/>
    <n v="1"/>
    <n v="1600"/>
    <n v="1600"/>
    <s v="Non-Tax Relief Expenses"/>
  </r>
  <r>
    <d v="2023-09-06T00:00:00"/>
    <s v="September"/>
    <s v="Gaming Expo Pass"/>
    <s v="Entertainment"/>
    <s v="Event"/>
    <s v="Game Expo "/>
    <n v="1"/>
    <n v="45"/>
    <n v="45"/>
    <s v="Non-Tax Relief Expenses"/>
  </r>
  <r>
    <d v="2023-09-08T00:00:00"/>
    <s v="September"/>
    <s v="Childcare Fee"/>
    <s v="Education"/>
    <s v="Childcare"/>
    <s v="Little Legends"/>
    <n v="1"/>
    <n v="600"/>
    <n v="600"/>
    <s v="Kindergarden (6yo and below)"/>
  </r>
  <r>
    <d v="2023-09-09T00:00:00"/>
    <s v="September"/>
    <s v="Chicken Chop"/>
    <s v="Food"/>
    <s v="Dinner"/>
    <s v="Charlie's Café"/>
    <n v="3"/>
    <n v="10"/>
    <n v="30"/>
    <s v="Non-Tax Relief Expenses"/>
  </r>
  <r>
    <d v="2023-09-09T00:00:00"/>
    <s v="September"/>
    <s v="Iced Cola"/>
    <s v="Food"/>
    <s v="Dinner"/>
    <s v="Charlie's Café"/>
    <n v="3"/>
    <n v="3"/>
    <n v="9"/>
    <s v="Non-Tax Relief Expenses"/>
  </r>
  <r>
    <d v="2023-09-09T00:00:00"/>
    <s v="September"/>
    <s v="Petrol Refill"/>
    <s v="Transportation"/>
    <s v="Personal"/>
    <s v="Shell"/>
    <n v="1"/>
    <n v="100"/>
    <n v="100"/>
    <s v="Non-Tax Relief Expenses"/>
  </r>
  <r>
    <d v="2023-09-09T00:00:00"/>
    <s v="September"/>
    <s v="Ramen"/>
    <s v="Food"/>
    <s v="Lunch"/>
    <s v="Kanbe"/>
    <n v="2"/>
    <n v="25"/>
    <n v="50"/>
    <s v="Non-Tax Relief Expenses"/>
  </r>
  <r>
    <d v="2023-09-10T00:00:00"/>
    <s v="September"/>
    <s v="EPF Contribution"/>
    <s v="Investment"/>
    <s v="Retirement"/>
    <s v="EPF"/>
    <n v="1"/>
    <n v="1100"/>
    <n v="1100"/>
    <s v="EPF"/>
  </r>
  <r>
    <d v="2023-09-10T00:00:00"/>
    <s v="September"/>
    <s v="SOCSO Contribution"/>
    <s v="Investment"/>
    <s v="Social Security"/>
    <s v="SOCSO"/>
    <n v="1"/>
    <n v="100"/>
    <n v="100"/>
    <s v="Contribution to SOCSO"/>
  </r>
  <r>
    <d v="2023-09-13T00:00:00"/>
    <s v="September"/>
    <s v="MyCity Pass 1-Day"/>
    <s v="Transportation"/>
    <s v="Public Transportation"/>
    <s v="Rapid KL"/>
    <n v="3"/>
    <n v="5"/>
    <n v="15"/>
    <s v="Non-Tax Relief Expenses"/>
  </r>
  <r>
    <d v="2023-09-15T00:00:00"/>
    <s v="September"/>
    <s v="Grocery Shopping "/>
    <s v="Food"/>
    <s v="Grocery"/>
    <s v="Aeon"/>
    <n v="1"/>
    <n v="750"/>
    <n v="750"/>
    <s v="Non-Tax Relief Expenses"/>
  </r>
  <r>
    <d v="2023-09-15T00:00:00"/>
    <s v="September"/>
    <s v="Water Bill"/>
    <s v="Utilities"/>
    <s v="Water"/>
    <s v="Air Selangor"/>
    <n v="1"/>
    <n v="29"/>
    <n v="29"/>
    <s v="Non-Tax Relief Expenses"/>
  </r>
  <r>
    <d v="2023-09-16T00:00:00"/>
    <s v="September"/>
    <s v="Buffet"/>
    <s v="Food"/>
    <s v="Dinner"/>
    <s v="Mookata"/>
    <n v="3"/>
    <n v="29.9"/>
    <n v="89.7"/>
    <s v="Non-Tax Relief Expenses"/>
  </r>
  <r>
    <d v="2023-09-16T00:00:00"/>
    <s v="September"/>
    <s v="Fried Rice"/>
    <s v="Food"/>
    <s v="Lunch"/>
    <s v="Fire City"/>
    <n v="3"/>
    <n v="7"/>
    <n v="21"/>
    <s v="Non-Tax Relief Expenses"/>
  </r>
  <r>
    <d v="2023-09-16T00:00:00"/>
    <s v="September"/>
    <s v="Nasi Lemak"/>
    <s v="Food"/>
    <s v="Breakfast"/>
    <s v="Sg Long Restaurant"/>
    <n v="2"/>
    <n v="4"/>
    <n v="8"/>
    <s v="Non-Tax Relief Expenses"/>
  </r>
  <r>
    <d v="2023-09-20T00:00:00"/>
    <s v="September"/>
    <s v="Car Loan"/>
    <s v="Transportation"/>
    <s v="Loan"/>
    <s v="Public Bank"/>
    <n v="1"/>
    <n v="1200"/>
    <n v="1200"/>
    <s v="Non-Tax Relief Expenses"/>
  </r>
  <r>
    <d v="2023-09-20T00:00:00"/>
    <s v="September"/>
    <s v="Online Gaming Subscription"/>
    <s v="Entertainment"/>
    <s v="Gaming"/>
    <s v="PlayStation Plus"/>
    <n v="3"/>
    <n v="10"/>
    <n v="30"/>
    <s v="Non-Tax Relief Expenses"/>
  </r>
  <r>
    <d v="2023-09-23T00:00:00"/>
    <s v="September"/>
    <s v="Petrol Refill"/>
    <s v="Transportation"/>
    <s v="Personal"/>
    <s v="Shell"/>
    <n v="1"/>
    <n v="90"/>
    <n v="90"/>
    <s v="Non-Tax Relief Expenses"/>
  </r>
  <r>
    <d v="2023-09-24T00:00:00"/>
    <s v="September"/>
    <s v="Private Retirement Scheme (PRS)"/>
    <s v="Investment"/>
    <s v="Retirement"/>
    <s v="Public Mutual"/>
    <n v="1"/>
    <n v="500"/>
    <n v="500"/>
    <s v="PRS"/>
  </r>
  <r>
    <d v="2023-09-25T00:00:00"/>
    <s v="September"/>
    <s v="Electric Bill"/>
    <s v="Utilities"/>
    <s v="Electric "/>
    <s v="TNB"/>
    <n v="1"/>
    <n v="84.5"/>
    <n v="84.5"/>
    <s v="Non-Tax Relief Expenses"/>
  </r>
  <r>
    <d v="2023-09-26T00:00:00"/>
    <s v="September"/>
    <s v="Internet Subscription"/>
    <s v="Utilities"/>
    <s v="Internet"/>
    <s v="TIME"/>
    <n v="1"/>
    <n v="100"/>
    <n v="100"/>
    <s v="Lifestyle(books/personal smart device/sports equipment/internet bill)"/>
  </r>
  <r>
    <d v="2023-10-01T00:00:00"/>
    <s v="October"/>
    <s v="Grocery Shopping "/>
    <s v="Food"/>
    <s v="Grocery"/>
    <s v="Aeon"/>
    <n v="1"/>
    <n v="800"/>
    <n v="800"/>
    <s v="Non-Tax Relief Expenses"/>
  </r>
  <r>
    <d v="2023-10-01T00:00:00"/>
    <s v="October"/>
    <s v="Train Ticket to Ipoh"/>
    <s v="Transportation"/>
    <s v="Public Transportation"/>
    <s v="KTMB"/>
    <n v="3"/>
    <n v="35"/>
    <n v="105"/>
    <s v="Non-Tax Relief Expenses"/>
  </r>
  <r>
    <d v="2023-10-05T00:00:00"/>
    <s v="October"/>
    <s v="House Loan"/>
    <s v="Housing"/>
    <s v="Mortgage"/>
    <s v="Public Bank"/>
    <n v="1"/>
    <n v="1600"/>
    <n v="1600"/>
    <s v="Non-Tax Relief Expenses"/>
  </r>
  <r>
    <d v="2023-10-07T00:00:00"/>
    <s v="October"/>
    <s v="Boba Tea"/>
    <s v="Food"/>
    <s v="Lunch"/>
    <s v="Tealive"/>
    <n v="2"/>
    <n v="11.9"/>
    <n v="23.8"/>
    <s v="Non-Tax Relief Expenses"/>
  </r>
  <r>
    <d v="2023-10-07T00:00:00"/>
    <s v="October"/>
    <s v="Economy Rice"/>
    <s v="Food"/>
    <s v="Lunch"/>
    <s v="Mr B"/>
    <n v="3"/>
    <n v="5"/>
    <n v="15"/>
    <s v="Non-Tax Relief Expenses"/>
  </r>
  <r>
    <d v="2023-10-07T00:00:00"/>
    <s v="October"/>
    <s v="Nasi Lemak"/>
    <s v="Food"/>
    <s v="Dinner"/>
    <s v="KFD"/>
    <n v="3"/>
    <n v="8"/>
    <n v="24"/>
    <s v="Non-Tax Relief Expenses"/>
  </r>
  <r>
    <d v="2023-10-07T00:00:00"/>
    <s v="October"/>
    <s v="Train Ticket to Kuala Lumpur"/>
    <s v="Transportation"/>
    <s v="Public Transportation"/>
    <s v="KTMB"/>
    <n v="3"/>
    <n v="35"/>
    <n v="105"/>
    <s v="Non-Tax Relief Expenses"/>
  </r>
  <r>
    <d v="2023-10-08T00:00:00"/>
    <s v="October"/>
    <s v="Childcare Fee"/>
    <s v="Education"/>
    <s v="Childcare"/>
    <s v="Little Legends"/>
    <n v="1"/>
    <n v="600"/>
    <n v="600"/>
    <s v="Kindergarden (6yo and below)"/>
  </r>
  <r>
    <d v="2023-10-10T00:00:00"/>
    <s v="October"/>
    <s v="EPF Contribution"/>
    <s v="Investment"/>
    <s v="Retirement"/>
    <s v="EPF"/>
    <n v="1"/>
    <n v="1100"/>
    <n v="1100"/>
    <s v="EPF"/>
  </r>
  <r>
    <d v="2023-10-10T00:00:00"/>
    <s v="October"/>
    <s v="SOCSO Contribution"/>
    <s v="Investment"/>
    <s v="Social Security"/>
    <s v="SOCSO"/>
    <n v="1"/>
    <n v="100"/>
    <n v="100"/>
    <s v="Contribution to SOCSO"/>
  </r>
  <r>
    <d v="2023-10-11T00:00:00"/>
    <s v="October"/>
    <s v="Petrol Refill"/>
    <s v="Transportation"/>
    <s v="Personal"/>
    <s v="Shell"/>
    <n v="1"/>
    <n v="100"/>
    <n v="100"/>
    <s v="Non-Tax Relief Expenses"/>
  </r>
  <r>
    <d v="2023-10-13T00:00:00"/>
    <s v="October"/>
    <s v="Oppenheimer"/>
    <s v="Entertainment"/>
    <s v="Movies"/>
    <s v="TGV"/>
    <n v="2"/>
    <n v="17"/>
    <n v="34"/>
    <s v="Non-Tax Relief Expenses"/>
  </r>
  <r>
    <d v="2023-10-14T00:00:00"/>
    <s v="October"/>
    <s v="Burger"/>
    <s v="Food"/>
    <s v="Dinner"/>
    <s v="Ramly Burger"/>
    <n v="3"/>
    <n v="5.5"/>
    <n v="16.5"/>
    <s v="Non-Tax Relief Expenses"/>
  </r>
  <r>
    <d v="2023-10-14T00:00:00"/>
    <s v="October"/>
    <s v="Char Kuey Teow"/>
    <s v="Food"/>
    <s v="Breakfast"/>
    <s v="Robert's Char Kuey Teow"/>
    <n v="2"/>
    <n v="6"/>
    <n v="12"/>
    <s v="Non-Tax Relief Expenses"/>
  </r>
  <r>
    <d v="2023-10-14T00:00:00"/>
    <s v="October"/>
    <s v="Shawarma"/>
    <s v="Food"/>
    <s v="Lunch"/>
    <s v="Al-Amar"/>
    <n v="2"/>
    <n v="8"/>
    <n v="16"/>
    <s v="Non-Tax Relief Expenses"/>
  </r>
  <r>
    <d v="2023-10-15T00:00:00"/>
    <s v="October"/>
    <s v="Grocery Shopping "/>
    <s v="Food"/>
    <s v="Grocery"/>
    <s v="Aeon"/>
    <n v="1"/>
    <n v="769"/>
    <n v="769"/>
    <s v="Non-Tax Relief Expenses"/>
  </r>
  <r>
    <d v="2023-10-15T00:00:00"/>
    <s v="October"/>
    <s v="Water Bill"/>
    <s v="Utilities"/>
    <s v="Water"/>
    <s v="Air Selangor"/>
    <n v="1"/>
    <n v="30"/>
    <n v="30"/>
    <s v="Non-Tax Relief Expenses"/>
  </r>
  <r>
    <d v="2023-10-20T00:00:00"/>
    <s v="October"/>
    <s v="Car Loan"/>
    <s v="Transportation"/>
    <s v="Loan"/>
    <s v="Public Bank"/>
    <n v="1"/>
    <n v="1200"/>
    <n v="1200"/>
    <s v="Non-Tax Relief Expenses"/>
  </r>
  <r>
    <d v="2023-10-21T00:00:00"/>
    <s v="October"/>
    <s v="Cake"/>
    <s v="Food"/>
    <s v="Lunch"/>
    <s v="Secret Recipe"/>
    <n v="3"/>
    <n v="9"/>
    <n v="27"/>
    <s v="Non-Tax Relief Expenses"/>
  </r>
  <r>
    <d v="2023-10-21T00:00:00"/>
    <s v="October"/>
    <s v="Nasi Ayam Kukus"/>
    <s v="Food"/>
    <s v="Dinner"/>
    <s v="Wawa"/>
    <n v="3"/>
    <n v="6"/>
    <n v="18"/>
    <s v="Non-Tax Relief Expenses"/>
  </r>
  <r>
    <d v="2023-10-21T00:00:00"/>
    <s v="October"/>
    <s v="Wan Tan Mee"/>
    <s v="Food"/>
    <s v="Breakfast"/>
    <s v="Sg Long Restaurant"/>
    <n v="3"/>
    <n v="6"/>
    <n v="18"/>
    <s v="Non-Tax Relief Expenses"/>
  </r>
  <r>
    <d v="2023-10-24T00:00:00"/>
    <s v="October"/>
    <s v="Private Retirement Scheme (PRS)"/>
    <s v="Investment"/>
    <s v="Retirement"/>
    <s v="Public Mutual"/>
    <n v="1"/>
    <n v="500"/>
    <n v="500"/>
    <s v="PRS"/>
  </r>
  <r>
    <d v="2023-10-25T00:00:00"/>
    <s v="October"/>
    <s v="Electric Bill"/>
    <s v="Utilities"/>
    <s v="Electric "/>
    <s v="TNB"/>
    <n v="1"/>
    <n v="85"/>
    <n v="85"/>
    <s v="Non-Tax Relief Expenses"/>
  </r>
  <r>
    <d v="2023-10-25T00:00:00"/>
    <s v="October"/>
    <s v="Petrol Refill"/>
    <s v="Transportation"/>
    <s v="Personal"/>
    <s v="Shell"/>
    <n v="1"/>
    <n v="120"/>
    <n v="120"/>
    <s v="Non-Tax Relief Expenses"/>
  </r>
  <r>
    <d v="2023-10-26T00:00:00"/>
    <s v="October"/>
    <s v="Internet Subscription"/>
    <s v="Utilities"/>
    <s v="Internet"/>
    <s v="TIME"/>
    <n v="1"/>
    <n v="100"/>
    <n v="100"/>
    <s v="Lifestyle(books/personal smart device/sports equipment/internet bill)"/>
  </r>
  <r>
    <d v="2023-10-27T00:00:00"/>
    <s v="October"/>
    <s v="Art Expo 3-Day Pass"/>
    <s v="Entertainment"/>
    <s v="Event"/>
    <s v="Art Expo"/>
    <n v="3"/>
    <n v="15"/>
    <n v="45"/>
    <s v="Non-Tax Relief Expenses"/>
  </r>
  <r>
    <d v="2023-11-01T00:00:00"/>
    <s v="November"/>
    <s v="Grocery Shopping "/>
    <s v="Food"/>
    <s v="Grocery"/>
    <s v="Aeon"/>
    <n v="1"/>
    <n v="804"/>
    <n v="804"/>
    <s v="Non-Tax Relief Expenses"/>
  </r>
  <r>
    <d v="2023-11-04T00:00:00"/>
    <s v="November"/>
    <s v="Curry Noodle"/>
    <s v="Food"/>
    <s v="Lunch"/>
    <s v="Yee Fatt"/>
    <n v="3"/>
    <n v="7"/>
    <n v="21"/>
    <s v="Non-Tax Relief Expenses"/>
  </r>
  <r>
    <d v="2023-11-04T00:00:00"/>
    <s v="November"/>
    <s v="Dim Sum"/>
    <s v="Food"/>
    <s v="Breakfast"/>
    <s v="Ming Court "/>
    <n v="1"/>
    <n v="60"/>
    <n v="60"/>
    <s v="Non-Tax Relief Expenses"/>
  </r>
  <r>
    <d v="2023-11-04T00:00:00"/>
    <s v="November"/>
    <s v="Satay"/>
    <s v="Food"/>
    <s v="Dinner"/>
    <s v="Satay Kajang"/>
    <n v="1"/>
    <n v="20"/>
    <n v="20"/>
    <s v="Non-Tax Relief Expenses"/>
  </r>
  <r>
    <d v="2023-11-05T00:00:00"/>
    <s v="November"/>
    <s v="House Loan"/>
    <s v="Housing"/>
    <s v="Mortgage"/>
    <s v="Public Bank"/>
    <n v="1"/>
    <n v="1600"/>
    <n v="1600"/>
    <s v="Non-Tax Relief Expenses"/>
  </r>
  <r>
    <d v="2023-11-08T00:00:00"/>
    <s v="November"/>
    <s v="Childcare Fee"/>
    <s v="Education"/>
    <s v="Childcare"/>
    <s v="Little Legends"/>
    <n v="1"/>
    <n v="600"/>
    <n v="600"/>
    <s v="Kindergarden (6yo and below)"/>
  </r>
  <r>
    <d v="2023-11-09T00:00:00"/>
    <s v="November"/>
    <s v="Karaoke Night"/>
    <s v="Entertainment"/>
    <s v="Music"/>
    <s v="The Zoo"/>
    <n v="3"/>
    <n v="25"/>
    <n v="75"/>
    <s v="Non-Tax Relief Expenses"/>
  </r>
  <r>
    <d v="2023-11-10T00:00:00"/>
    <s v="November"/>
    <s v="EPF Contribution"/>
    <s v="Investment"/>
    <s v="Retirement"/>
    <s v="EPF"/>
    <n v="1"/>
    <n v="1100"/>
    <n v="1100"/>
    <s v="EPF"/>
  </r>
  <r>
    <d v="2023-11-10T00:00:00"/>
    <s v="November"/>
    <s v="SOCSO Contribution"/>
    <s v="Investment"/>
    <s v="Social Security"/>
    <s v="SOCSO"/>
    <n v="1"/>
    <n v="100"/>
    <n v="100"/>
    <s v="Contribution to SOCSO"/>
  </r>
  <r>
    <d v="2023-11-11T00:00:00"/>
    <s v="November"/>
    <s v="Boba Tea"/>
    <s v="Food"/>
    <s v="Lunch"/>
    <s v="Tealive"/>
    <n v="2"/>
    <n v="11.9"/>
    <n v="23.8"/>
    <s v="Non-Tax Relief Expenses"/>
  </r>
  <r>
    <d v="2023-11-11T00:00:00"/>
    <s v="November"/>
    <s v="Chee Cheong Fun"/>
    <s v="Food"/>
    <s v="Breakfast"/>
    <s v="Sg Long Restaurant"/>
    <n v="2"/>
    <n v="6"/>
    <n v="12"/>
    <s v="Non-Tax Relief Expenses"/>
  </r>
  <r>
    <d v="2023-11-11T00:00:00"/>
    <s v="November"/>
    <s v="Mexican Cuisine"/>
    <s v="Food"/>
    <s v="Dinner"/>
    <s v="Chica Bonita"/>
    <n v="1"/>
    <n v="100"/>
    <n v="100"/>
    <s v="Non-Tax Relief Expenses"/>
  </r>
  <r>
    <d v="2023-11-11T00:00:00"/>
    <s v="November"/>
    <s v="Parking Fee "/>
    <s v="Transportation"/>
    <s v="Personal"/>
    <s v="TRX"/>
    <n v="1"/>
    <n v="5"/>
    <n v="5"/>
    <s v="Non-Tax Relief Expenses"/>
  </r>
  <r>
    <d v="2023-11-15T00:00:00"/>
    <s v="November"/>
    <s v="Grocery Shopping "/>
    <s v="Food"/>
    <s v="Grocery"/>
    <s v="Aeon"/>
    <n v="1"/>
    <n v="788"/>
    <n v="788"/>
    <s v="Non-Tax Relief Expenses"/>
  </r>
  <r>
    <d v="2023-11-15T00:00:00"/>
    <s v="November"/>
    <s v="Water Bill"/>
    <s v="Utilities"/>
    <s v="Water"/>
    <s v="Air Selangor"/>
    <n v="1"/>
    <n v="32"/>
    <n v="32"/>
    <s v="Non-Tax Relief Expenses"/>
  </r>
  <r>
    <d v="2023-11-18T00:00:00"/>
    <s v="November"/>
    <s v="SeaFoodPasta"/>
    <s v="Food"/>
    <s v="Lunch"/>
    <s v="House of Wheat"/>
    <n v="1"/>
    <n v="27"/>
    <n v="27"/>
    <s v="Non-Tax Relief Expenses"/>
  </r>
  <r>
    <d v="2023-11-18T00:00:00"/>
    <s v="November"/>
    <s v="Sourdough with Chicken Hummus"/>
    <s v="Food"/>
    <s v="Lunch"/>
    <s v="House of Wheat"/>
    <n v="1"/>
    <n v="23"/>
    <n v="23"/>
    <s v="Non-Tax Relief Expenses"/>
  </r>
  <r>
    <d v="2023-11-18T00:00:00"/>
    <s v="November"/>
    <s v="Sushi"/>
    <s v="Food"/>
    <s v="Dinner"/>
    <s v="Sushi Zanmai"/>
    <n v="1"/>
    <n v="60"/>
    <n v="60"/>
    <s v="Non-Tax Relief Expenses"/>
  </r>
  <r>
    <d v="2023-11-20T00:00:00"/>
    <s v="November"/>
    <s v="Car Loan"/>
    <s v="Transportation"/>
    <s v="Loan"/>
    <s v="Public Bank"/>
    <n v="1"/>
    <n v="1200"/>
    <n v="1200"/>
    <s v="Non-Tax Relief Expenses"/>
  </r>
  <r>
    <d v="2023-11-20T00:00:00"/>
    <s v="November"/>
    <s v="Petrol Refill"/>
    <s v="Transportation"/>
    <s v="Public Transportation"/>
    <s v="Shell"/>
    <n v="1"/>
    <n v="120"/>
    <n v="120"/>
    <s v="Non-Tax Relief Expenses"/>
  </r>
  <r>
    <d v="2023-11-23T00:00:00"/>
    <s v="November"/>
    <s v="Comedy Show Tickets"/>
    <s v="Entertainment"/>
    <s v="Comedy"/>
    <s v="Crackhouse Comedy Club"/>
    <n v="3"/>
    <n v="60"/>
    <n v="180"/>
    <s v="Non-Tax Relief Expenses"/>
  </r>
  <r>
    <d v="2023-11-23T00:00:00"/>
    <s v="November"/>
    <s v="MyCity Pass 1-Day"/>
    <s v="Transportation"/>
    <s v="Public Transportation"/>
    <s v="Rapid KL"/>
    <n v="3"/>
    <n v="5"/>
    <n v="15"/>
    <s v="Non-Tax Relief Expenses"/>
  </r>
  <r>
    <d v="2023-11-24T00:00:00"/>
    <s v="November"/>
    <s v="Private Retirement Scheme (PRS)"/>
    <s v="Investment"/>
    <s v="Retirement"/>
    <s v="Public Mutual"/>
    <n v="1"/>
    <n v="500"/>
    <n v="500"/>
    <s v="PRS"/>
  </r>
  <r>
    <d v="2023-11-25T00:00:00"/>
    <s v="November"/>
    <s v="Electric Bill"/>
    <s v="Utilities"/>
    <s v="Electric "/>
    <s v="TNB"/>
    <n v="1"/>
    <n v="84.5"/>
    <n v="84.5"/>
    <s v="Non-Tax Relief Expenses"/>
  </r>
  <r>
    <d v="2023-11-28T00:00:00"/>
    <s v="November"/>
    <s v="Internet Subscription"/>
    <s v="Utilities"/>
    <s v="Internet"/>
    <s v="TIME"/>
    <n v="1"/>
    <n v="100"/>
    <n v="100"/>
    <s v="Lifestyle(books/personal smart device/sports equipment/internet bill)"/>
  </r>
  <r>
    <d v="2023-12-01T00:00:00"/>
    <s v="December"/>
    <s v="Grocery Shopping "/>
    <s v="Food"/>
    <s v="Grocery"/>
    <s v="Aeon"/>
    <n v="1"/>
    <n v="730"/>
    <n v="730"/>
    <s v="Non-Tax Relief Expenses"/>
  </r>
  <r>
    <d v="2023-12-02T00:00:00"/>
    <s v="December"/>
    <s v="Banglo 289 Breakfast"/>
    <s v="Food"/>
    <s v="Breakfast"/>
    <s v="Banglo 289"/>
    <n v="1"/>
    <n v="20"/>
    <n v="20"/>
    <s v="Non-Tax Relief Expenses"/>
  </r>
  <r>
    <d v="2023-12-02T00:00:00"/>
    <s v="December"/>
    <s v="Coffee"/>
    <s v="Food"/>
    <s v="Lunch"/>
    <s v="Starbucks"/>
    <n v="2"/>
    <n v="16"/>
    <n v="32"/>
    <s v="Non-Tax Relief Expenses"/>
  </r>
  <r>
    <d v="2023-12-02T00:00:00"/>
    <s v="December"/>
    <s v="Lempeng Pisang"/>
    <s v="Food"/>
    <s v="Breakfast"/>
    <s v="Banglo 289"/>
    <n v="1"/>
    <n v="5.5"/>
    <n v="5.5"/>
    <s v="Non-Tax Relief Expenses"/>
  </r>
  <r>
    <d v="2023-12-05T00:00:00"/>
    <s v="December"/>
    <s v="House Loan"/>
    <s v="Housing"/>
    <s v="Mortgage"/>
    <s v="Public Bank"/>
    <n v="1"/>
    <n v="1600"/>
    <n v="1600"/>
    <s v="Non-Tax Relief Expenses"/>
  </r>
  <r>
    <d v="2023-12-06T00:00:00"/>
    <s v="December"/>
    <s v="New Tablet"/>
    <s v="Electronics"/>
    <s v="Tablet"/>
    <s v="Apple Store"/>
    <n v="1"/>
    <n v="2500"/>
    <n v="2500"/>
    <s v="Lifestyle(books/personal smart device/sports equipment/internet bill)"/>
  </r>
  <r>
    <d v="2023-12-06T00:00:00"/>
    <s v="December"/>
    <s v="Petrol Refill"/>
    <s v="Transportation"/>
    <s v="Personal"/>
    <s v="Shell"/>
    <n v="1"/>
    <n v="110"/>
    <n v="110"/>
    <s v="Non-Tax Relief Expenses"/>
  </r>
  <r>
    <d v="2023-12-08T00:00:00"/>
    <s v="December"/>
    <s v="Childcare Fee"/>
    <s v="Education"/>
    <s v="Childcare"/>
    <s v="Little Legends"/>
    <n v="1"/>
    <n v="600"/>
    <n v="600"/>
    <s v="Kindergarden (6yo and below)"/>
  </r>
  <r>
    <d v="2023-12-08T00:00:00"/>
    <s v="December"/>
    <s v="MyCity Pass 1-Day"/>
    <s v="Transportation"/>
    <s v="Public Transportation"/>
    <s v="Rapid KL"/>
    <n v="3"/>
    <n v="5"/>
    <n v="15"/>
    <s v="Non-Tax Relief Expenses"/>
  </r>
  <r>
    <d v="2023-12-09T00:00:00"/>
    <s v="December"/>
    <s v="BBQ Short Ribs"/>
    <s v="Food"/>
    <s v="Dinner"/>
    <s v="The Steakhouse Kl"/>
    <n v="1"/>
    <n v="129"/>
    <n v="129"/>
    <s v="Non-Tax Relief Expenses"/>
  </r>
  <r>
    <d v="2023-12-09T00:00:00"/>
    <s v="December"/>
    <s v="Nasi Lemak"/>
    <s v="Food"/>
    <s v="Lunch"/>
    <s v="Village Park"/>
    <n v="3"/>
    <n v="9"/>
    <n v="27"/>
    <s v="Non-Tax Relief Expenses"/>
  </r>
  <r>
    <d v="2023-12-09T00:00:00"/>
    <s v="December"/>
    <s v="Norwegian Fresh Salmon"/>
    <s v="Food"/>
    <s v="Dinner"/>
    <s v="The Steakhouse Kl"/>
    <n v="1"/>
    <n v="99"/>
    <n v="99"/>
    <s v="Non-Tax Relief Expenses"/>
  </r>
  <r>
    <d v="2023-12-10T00:00:00"/>
    <s v="December"/>
    <s v="EPF Contribution"/>
    <s v="Investment"/>
    <s v="Retirement"/>
    <s v="EPF"/>
    <n v="1"/>
    <n v="1100"/>
    <n v="1100"/>
    <s v="EPF"/>
  </r>
  <r>
    <d v="2023-12-10T00:00:00"/>
    <s v="December"/>
    <s v="SOCSO Contribution"/>
    <s v="Investment"/>
    <s v="Social Security"/>
    <s v="SOCSO"/>
    <n v="1"/>
    <n v="100"/>
    <n v="100"/>
    <s v="Contribution to SOCSO"/>
  </r>
  <r>
    <d v="2023-12-12T00:00:00"/>
    <s v="December"/>
    <s v="Gaming Chair Purchase"/>
    <s v="Entertainment"/>
    <s v="Gaming"/>
    <s v="Secretlab"/>
    <n v="1"/>
    <n v="1000"/>
    <n v="1000"/>
    <s v="Non-Tax Relief Expenses"/>
  </r>
  <r>
    <d v="2023-12-15T00:00:00"/>
    <s v="December"/>
    <s v="Grocery Shopping "/>
    <s v="Food"/>
    <s v="Grocery"/>
    <s v="Aeon"/>
    <n v="1"/>
    <n v="810"/>
    <n v="810"/>
    <s v="Non-Tax Relief Expenses"/>
  </r>
  <r>
    <d v="2023-12-15T00:00:00"/>
    <s v="December"/>
    <s v="Parking Fee "/>
    <s v="Transportation"/>
    <s v="Personal"/>
    <s v="TRX"/>
    <n v="1"/>
    <n v="5"/>
    <n v="5"/>
    <s v="Non-Tax Relief Expenses"/>
  </r>
  <r>
    <d v="2023-12-15T00:00:00"/>
    <s v="December"/>
    <s v="Water Bill"/>
    <s v="Utilities"/>
    <s v="Water"/>
    <s v="Air Selangor"/>
    <n v="1"/>
    <n v="33"/>
    <n v="33"/>
    <s v="Non-Tax Relief Expenses"/>
  </r>
  <r>
    <d v="2023-12-16T00:00:00"/>
    <s v="December"/>
    <s v="Curry Noodle"/>
    <s v="Food"/>
    <s v="Breakfast"/>
    <s v="Yee Fatt"/>
    <n v="3"/>
    <n v="7"/>
    <n v="21"/>
    <s v="Non-Tax Relief Expenses"/>
  </r>
  <r>
    <d v="2023-12-16T00:00:00"/>
    <s v="December"/>
    <s v="Economy Rice"/>
    <s v="Food"/>
    <s v="Lunch"/>
    <s v="Mr B"/>
    <n v="3"/>
    <n v="6"/>
    <n v="18"/>
    <s v="Non-Tax Relief Expenses"/>
  </r>
  <r>
    <d v="2023-12-16T00:00:00"/>
    <s v="December"/>
    <s v="Teppanyaki Beef Set"/>
    <s v="Food"/>
    <s v="Dinner"/>
    <s v="Teppanyaki"/>
    <n v="2"/>
    <n v="24.9"/>
    <n v="49.8"/>
    <s v="Non-Tax Relief Expenses"/>
  </r>
  <r>
    <d v="2023-12-20T00:00:00"/>
    <s v="December"/>
    <s v="Car Loan"/>
    <s v="Transportation"/>
    <s v="Loan"/>
    <s v="Public Bank"/>
    <n v="1"/>
    <n v="1200"/>
    <n v="1200"/>
    <s v="Non-Tax Relief Expenses"/>
  </r>
  <r>
    <d v="2023-12-20T00:00:00"/>
    <s v="December"/>
    <s v="Dental Checkup"/>
    <s v="Health"/>
    <s v="Examination"/>
    <s v="Pantai Hospital"/>
    <n v="1"/>
    <n v="100"/>
    <n v="100"/>
    <s v="Non-Tax Relief Expenses"/>
  </r>
  <r>
    <d v="2023-12-20T00:00:00"/>
    <s v="December"/>
    <s v="Petrol Refill"/>
    <s v="Transportation"/>
    <s v="Personal"/>
    <s v="Shell"/>
    <n v="1"/>
    <n v="110"/>
    <n v="110"/>
    <s v="Non-Tax Relief Expenses"/>
  </r>
  <r>
    <d v="2023-12-24T00:00:00"/>
    <s v="December"/>
    <s v="Private Retirement Scheme (PRS)"/>
    <s v="Investment"/>
    <s v="Retirement"/>
    <s v="Public Mutual"/>
    <n v="1"/>
    <n v="500"/>
    <n v="500"/>
    <s v="PRS"/>
  </r>
  <r>
    <d v="2023-12-25T00:00:00"/>
    <s v="December"/>
    <s v="Electric Bill"/>
    <s v="Utilities"/>
    <s v="Electric "/>
    <s v="TNB"/>
    <n v="1"/>
    <n v="90"/>
    <n v="90"/>
    <s v="Non-Tax Relief Expenses"/>
  </r>
  <r>
    <d v="2023-12-26T00:00:00"/>
    <s v="December"/>
    <s v="Barbie"/>
    <s v="Entertainment"/>
    <s v="Movies"/>
    <s v="TGV"/>
    <n v="3"/>
    <n v="17"/>
    <n v="51"/>
    <s v="Non-Tax Relief Expenses"/>
  </r>
  <r>
    <d v="2023-12-27T00:00:00"/>
    <s v="December"/>
    <s v="Internet Subscription"/>
    <s v="Utilities"/>
    <s v="Internet"/>
    <s v="TIME"/>
    <n v="1"/>
    <n v="100"/>
    <n v="100"/>
    <s v="Lifestyle(books/personal smart device/sports equipment/internet bill)"/>
  </r>
  <r>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7D1546-22FC-4668-90A3-A2F27B5F1C13}" name="MonthlyExpens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E4:F17" firstHeaderRow="1" firstDataRow="1" firstDataCol="1" rowPageCount="1" colPageCount="1"/>
  <pivotFields count="10">
    <pivotField numFmtId="14" showAll="0"/>
    <pivotField axis="axisRow" showAll="0">
      <items count="13">
        <item x="6"/>
        <item x="10"/>
        <item x="8"/>
        <item x="0"/>
        <item x="4"/>
        <item x="2"/>
        <item x="7"/>
        <item x="11"/>
        <item x="9"/>
        <item x="1"/>
        <item x="5"/>
        <item x="3"/>
        <item t="default"/>
      </items>
    </pivotField>
    <pivotField showAll="0"/>
    <pivotField axis="axisPage" multipleItemSelectionAllowed="1" showAll="0">
      <items count="13">
        <item h="1" x="2"/>
        <item h="1" x="4"/>
        <item h="1" x="8"/>
        <item x="1"/>
        <item h="1" m="1" x="10"/>
        <item h="1" x="0"/>
        <item h="1" x="9"/>
        <item h="1" x="5"/>
        <item h="1" x="7"/>
        <item h="1" m="1" x="11"/>
        <item h="1" x="3"/>
        <item h="1" x="6"/>
        <item t="default"/>
      </items>
    </pivotField>
    <pivotField showAll="0"/>
    <pivotField showAll="0"/>
    <pivotField showAll="0"/>
    <pivotField numFmtId="170" showAll="0"/>
    <pivotField dataField="1" numFmtId="170" showAll="0"/>
    <pivotField showAll="0"/>
  </pivotFields>
  <rowFields count="1">
    <field x="1"/>
  </rowFields>
  <rowItems count="13">
    <i>
      <x/>
    </i>
    <i>
      <x v="1"/>
    </i>
    <i>
      <x v="2"/>
    </i>
    <i>
      <x v="3"/>
    </i>
    <i>
      <x v="4"/>
    </i>
    <i>
      <x v="5"/>
    </i>
    <i>
      <x v="6"/>
    </i>
    <i>
      <x v="7"/>
    </i>
    <i>
      <x v="8"/>
    </i>
    <i>
      <x v="9"/>
    </i>
    <i>
      <x v="10"/>
    </i>
    <i>
      <x v="11"/>
    </i>
    <i t="grand">
      <x/>
    </i>
  </rowItems>
  <colItems count="1">
    <i/>
  </colItems>
  <pageFields count="1">
    <pageField fld="3" hier="-1"/>
  </pageFields>
  <dataFields count="1">
    <dataField name="Sum of Total"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92DE2E9-227E-4030-931D-1037181D5377}" name="Recipi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S2:T7" firstHeaderRow="1" firstDataRow="1" firstDataCol="1"/>
  <pivotFields count="10">
    <pivotField numFmtId="14" showAll="0" measureFilter="1"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axis="axisRow" showAll="0" measureFilter="1" sortType="descending">
      <items count="75">
        <item x="7"/>
        <item x="56"/>
        <item x="73"/>
        <item x="65"/>
        <item x="51"/>
        <item x="1"/>
        <item x="19"/>
        <item x="2"/>
        <item x="10"/>
        <item x="16"/>
        <item x="45"/>
        <item x="17"/>
        <item x="23"/>
        <item x="22"/>
        <item x="43"/>
        <item x="44"/>
        <item x="31"/>
        <item x="34"/>
        <item x="36"/>
        <item x="60"/>
        <item x="71"/>
        <item x="28"/>
        <item x="38"/>
        <item x="64"/>
        <item x="61"/>
        <item x="33"/>
        <item x="49"/>
        <item x="72"/>
        <item x="18"/>
        <item x="24"/>
        <item x="37"/>
        <item x="62"/>
        <item x="9"/>
        <item x="52"/>
        <item x="26"/>
        <item x="8"/>
        <item x="27"/>
        <item x="50"/>
        <item x="0"/>
        <item x="55"/>
        <item x="58"/>
        <item x="53"/>
        <item x="39"/>
        <item x="13"/>
        <item x="59"/>
        <item x="32"/>
        <item x="11"/>
        <item x="46"/>
        <item x="41"/>
        <item x="14"/>
        <item x="63"/>
        <item x="12"/>
        <item x="35"/>
        <item x="15"/>
        <item x="57"/>
        <item x="66"/>
        <item x="67"/>
        <item x="20"/>
        <item x="68"/>
        <item x="69"/>
        <item x="6"/>
        <item x="70"/>
        <item x="3"/>
        <item x="21"/>
        <item x="4"/>
        <item x="42"/>
        <item x="40"/>
        <item x="29"/>
        <item x="30"/>
        <item x="5"/>
        <item x="54"/>
        <item x="48"/>
        <item x="47"/>
        <item x="25"/>
        <item t="default"/>
      </items>
      <autoSortScope>
        <pivotArea dataOnly="0" outline="0" fieldPosition="0">
          <references count="1">
            <reference field="4294967294" count="1" selected="0">
              <x v="0"/>
            </reference>
          </references>
        </pivotArea>
      </autoSortScope>
    </pivotField>
    <pivotField showAll="0"/>
    <pivotField numFmtId="170" showAll="0"/>
    <pivotField dataField="1" numFmtId="170" showAll="0"/>
    <pivotField showAll="0"/>
  </pivotFields>
  <rowFields count="1">
    <field x="5"/>
  </rowFields>
  <rowItems count="5">
    <i>
      <x v="43"/>
    </i>
    <i>
      <x/>
    </i>
    <i>
      <x v="16"/>
    </i>
    <i>
      <x v="21"/>
    </i>
    <i>
      <x v="28"/>
    </i>
  </rowItems>
  <colItems count="1">
    <i/>
  </colItems>
  <dataFields count="1">
    <dataField name="Sum of Total" fld="8" baseField="0" baseItem="0" numFmtId="167"/>
  </dataFields>
  <formats count="1">
    <format dxfId="1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0" type="count" evalOrder="-1" id="7" iMeasureFld="0">
      <autoFilter ref="A1">
        <filterColumn colId="0">
          <top10 val="5" filterVal="5"/>
        </filterColumn>
      </autoFilter>
    </filter>
    <filter fld="5" type="count" evalOrder="-1" id="18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47610B-A6EF-43AD-81C9-334460A4D7C4}" name="ExpensesBy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H4:I13" firstHeaderRow="1" firstDataRow="1" firstDataCol="1" rowPageCount="1" colPageCount="1"/>
  <pivotFields count="10">
    <pivotField numFmtId="14" showAll="0"/>
    <pivotField axis="axisPage" multipleItemSelectionAllowed="1" showAll="0">
      <items count="13">
        <item x="6"/>
        <item h="1" x="10"/>
        <item h="1" x="8"/>
        <item h="1" x="0"/>
        <item h="1" x="4"/>
        <item h="1" x="2"/>
        <item h="1" x="7"/>
        <item h="1" x="11"/>
        <item h="1" x="9"/>
        <item h="1" x="1"/>
        <item h="1" x="5"/>
        <item h="1" x="3"/>
        <item t="default"/>
      </items>
    </pivotField>
    <pivotField showAll="0"/>
    <pivotField axis="axisRow" showAll="0">
      <items count="13">
        <item x="2"/>
        <item x="4"/>
        <item x="8"/>
        <item x="1"/>
        <item m="1" x="10"/>
        <item x="0"/>
        <item x="9"/>
        <item x="5"/>
        <item x="7"/>
        <item x="3"/>
        <item x="6"/>
        <item m="1" x="11"/>
        <item t="default"/>
      </items>
    </pivotField>
    <pivotField showAll="0"/>
    <pivotField showAll="0"/>
    <pivotField showAll="0"/>
    <pivotField numFmtId="170" showAll="0"/>
    <pivotField dataField="1" numFmtId="170" showAll="0"/>
    <pivotField showAll="0"/>
  </pivotFields>
  <rowFields count="1">
    <field x="3"/>
  </rowFields>
  <rowItems count="9">
    <i>
      <x/>
    </i>
    <i>
      <x v="1"/>
    </i>
    <i>
      <x v="3"/>
    </i>
    <i>
      <x v="6"/>
    </i>
    <i>
      <x v="7"/>
    </i>
    <i>
      <x v="8"/>
    </i>
    <i>
      <x v="9"/>
    </i>
    <i>
      <x v="10"/>
    </i>
    <i t="grand">
      <x/>
    </i>
  </rowItems>
  <colItems count="1">
    <i/>
  </colItems>
  <pageFields count="1">
    <pageField fld="1" hier="-1"/>
  </pageFields>
  <dataFields count="1">
    <dataField name="Sum of Total" fld="8" baseField="0" baseItem="0"/>
  </dataFields>
  <formats count="1">
    <format dxfId="11">
      <pivotArea dataOnly="0" labelOnly="1" outline="0" fieldPosition="0">
        <references count="1">
          <reference field="1" count="0"/>
        </references>
      </pivotArea>
    </format>
  </formats>
  <chartFormats count="54">
    <chartFormat chart="7" format="0" series="1">
      <pivotArea type="data" outline="0" fieldPosition="0">
        <references count="1">
          <reference field="4294967294" count="1" selected="0">
            <x v="0"/>
          </reference>
        </references>
      </pivotArea>
    </chartFormat>
    <chartFormat chart="16" format="23" series="1">
      <pivotArea type="data" outline="0" fieldPosition="0">
        <references count="1">
          <reference field="4294967294" count="1" selected="0">
            <x v="0"/>
          </reference>
        </references>
      </pivotArea>
    </chartFormat>
    <chartFormat chart="16" format="24">
      <pivotArea type="data" outline="0" fieldPosition="0">
        <references count="2">
          <reference field="4294967294" count="1" selected="0">
            <x v="0"/>
          </reference>
          <reference field="3" count="1" selected="0">
            <x v="0"/>
          </reference>
        </references>
      </pivotArea>
    </chartFormat>
    <chartFormat chart="16" format="25">
      <pivotArea type="data" outline="0" fieldPosition="0">
        <references count="2">
          <reference field="4294967294" count="1" selected="0">
            <x v="0"/>
          </reference>
          <reference field="3" count="1" selected="0">
            <x v="1"/>
          </reference>
        </references>
      </pivotArea>
    </chartFormat>
    <chartFormat chart="16" format="26">
      <pivotArea type="data" outline="0" fieldPosition="0">
        <references count="2">
          <reference field="4294967294" count="1" selected="0">
            <x v="0"/>
          </reference>
          <reference field="3" count="1" selected="0">
            <x v="2"/>
          </reference>
        </references>
      </pivotArea>
    </chartFormat>
    <chartFormat chart="16" format="27">
      <pivotArea type="data" outline="0" fieldPosition="0">
        <references count="2">
          <reference field="4294967294" count="1" selected="0">
            <x v="0"/>
          </reference>
          <reference field="3" count="1" selected="0">
            <x v="3"/>
          </reference>
        </references>
      </pivotArea>
    </chartFormat>
    <chartFormat chart="16" format="28">
      <pivotArea type="data" outline="0" fieldPosition="0">
        <references count="2">
          <reference field="4294967294" count="1" selected="0">
            <x v="0"/>
          </reference>
          <reference field="3" count="1" selected="0">
            <x v="5"/>
          </reference>
        </references>
      </pivotArea>
    </chartFormat>
    <chartFormat chart="16" format="29">
      <pivotArea type="data" outline="0" fieldPosition="0">
        <references count="2">
          <reference field="4294967294" count="1" selected="0">
            <x v="0"/>
          </reference>
          <reference field="3" count="1" selected="0">
            <x v="6"/>
          </reference>
        </references>
      </pivotArea>
    </chartFormat>
    <chartFormat chart="16" format="30">
      <pivotArea type="data" outline="0" fieldPosition="0">
        <references count="2">
          <reference field="4294967294" count="1" selected="0">
            <x v="0"/>
          </reference>
          <reference field="3" count="1" selected="0">
            <x v="7"/>
          </reference>
        </references>
      </pivotArea>
    </chartFormat>
    <chartFormat chart="16" format="31">
      <pivotArea type="data" outline="0" fieldPosition="0">
        <references count="2">
          <reference field="4294967294" count="1" selected="0">
            <x v="0"/>
          </reference>
          <reference field="3" count="1" selected="0">
            <x v="8"/>
          </reference>
        </references>
      </pivotArea>
    </chartFormat>
    <chartFormat chart="16" format="32">
      <pivotArea type="data" outline="0" fieldPosition="0">
        <references count="2">
          <reference field="4294967294" count="1" selected="0">
            <x v="0"/>
          </reference>
          <reference field="3" count="1" selected="0">
            <x v="9"/>
          </reference>
        </references>
      </pivotArea>
    </chartFormat>
    <chartFormat chart="16" format="33">
      <pivotArea type="data" outline="0" fieldPosition="0">
        <references count="2">
          <reference field="4294967294" count="1" selected="0">
            <x v="0"/>
          </reference>
          <reference field="3" count="1" selected="0">
            <x v="10"/>
          </reference>
        </references>
      </pivotArea>
    </chartFormat>
    <chartFormat chart="17" format="23" series="1">
      <pivotArea type="data" outline="0" fieldPosition="0">
        <references count="1">
          <reference field="4294967294" count="1" selected="0">
            <x v="0"/>
          </reference>
        </references>
      </pivotArea>
    </chartFormat>
    <chartFormat chart="17" format="24">
      <pivotArea type="data" outline="0" fieldPosition="0">
        <references count="2">
          <reference field="4294967294" count="1" selected="0">
            <x v="0"/>
          </reference>
          <reference field="3" count="1" selected="0">
            <x v="0"/>
          </reference>
        </references>
      </pivotArea>
    </chartFormat>
    <chartFormat chart="17" format="25">
      <pivotArea type="data" outline="0" fieldPosition="0">
        <references count="2">
          <reference field="4294967294" count="1" selected="0">
            <x v="0"/>
          </reference>
          <reference field="3" count="1" selected="0">
            <x v="1"/>
          </reference>
        </references>
      </pivotArea>
    </chartFormat>
    <chartFormat chart="17" format="26">
      <pivotArea type="data" outline="0" fieldPosition="0">
        <references count="2">
          <reference field="4294967294" count="1" selected="0">
            <x v="0"/>
          </reference>
          <reference field="3" count="1" selected="0">
            <x v="2"/>
          </reference>
        </references>
      </pivotArea>
    </chartFormat>
    <chartFormat chart="17" format="27">
      <pivotArea type="data" outline="0" fieldPosition="0">
        <references count="2">
          <reference field="4294967294" count="1" selected="0">
            <x v="0"/>
          </reference>
          <reference field="3" count="1" selected="0">
            <x v="3"/>
          </reference>
        </references>
      </pivotArea>
    </chartFormat>
    <chartFormat chart="17" format="28">
      <pivotArea type="data" outline="0" fieldPosition="0">
        <references count="2">
          <reference field="4294967294" count="1" selected="0">
            <x v="0"/>
          </reference>
          <reference field="3" count="1" selected="0">
            <x v="5"/>
          </reference>
        </references>
      </pivotArea>
    </chartFormat>
    <chartFormat chart="17" format="29">
      <pivotArea type="data" outline="0" fieldPosition="0">
        <references count="2">
          <reference field="4294967294" count="1" selected="0">
            <x v="0"/>
          </reference>
          <reference field="3" count="1" selected="0">
            <x v="6"/>
          </reference>
        </references>
      </pivotArea>
    </chartFormat>
    <chartFormat chart="17" format="30">
      <pivotArea type="data" outline="0" fieldPosition="0">
        <references count="2">
          <reference field="4294967294" count="1" selected="0">
            <x v="0"/>
          </reference>
          <reference field="3" count="1" selected="0">
            <x v="7"/>
          </reference>
        </references>
      </pivotArea>
    </chartFormat>
    <chartFormat chart="17" format="31">
      <pivotArea type="data" outline="0" fieldPosition="0">
        <references count="2">
          <reference field="4294967294" count="1" selected="0">
            <x v="0"/>
          </reference>
          <reference field="3" count="1" selected="0">
            <x v="8"/>
          </reference>
        </references>
      </pivotArea>
    </chartFormat>
    <chartFormat chart="17" format="32">
      <pivotArea type="data" outline="0" fieldPosition="0">
        <references count="2">
          <reference field="4294967294" count="1" selected="0">
            <x v="0"/>
          </reference>
          <reference field="3" count="1" selected="0">
            <x v="9"/>
          </reference>
        </references>
      </pivotArea>
    </chartFormat>
    <chartFormat chart="17" format="33">
      <pivotArea type="data" outline="0" fieldPosition="0">
        <references count="2">
          <reference field="4294967294" count="1" selected="0">
            <x v="0"/>
          </reference>
          <reference field="3" count="1" selected="0">
            <x v="10"/>
          </reference>
        </references>
      </pivotArea>
    </chartFormat>
    <chartFormat chart="7" format="12">
      <pivotArea type="data" outline="0" fieldPosition="0">
        <references count="2">
          <reference field="4294967294" count="1" selected="0">
            <x v="0"/>
          </reference>
          <reference field="3" count="1" selected="0">
            <x v="0"/>
          </reference>
        </references>
      </pivotArea>
    </chartFormat>
    <chartFormat chart="7" format="13">
      <pivotArea type="data" outline="0" fieldPosition="0">
        <references count="2">
          <reference field="4294967294" count="1" selected="0">
            <x v="0"/>
          </reference>
          <reference field="3" count="1" selected="0">
            <x v="1"/>
          </reference>
        </references>
      </pivotArea>
    </chartFormat>
    <chartFormat chart="7" format="14">
      <pivotArea type="data" outline="0" fieldPosition="0">
        <references count="2">
          <reference field="4294967294" count="1" selected="0">
            <x v="0"/>
          </reference>
          <reference field="3" count="1" selected="0">
            <x v="2"/>
          </reference>
        </references>
      </pivotArea>
    </chartFormat>
    <chartFormat chart="7" format="15">
      <pivotArea type="data" outline="0" fieldPosition="0">
        <references count="2">
          <reference field="4294967294" count="1" selected="0">
            <x v="0"/>
          </reference>
          <reference field="3" count="1" selected="0">
            <x v="3"/>
          </reference>
        </references>
      </pivotArea>
    </chartFormat>
    <chartFormat chart="7" format="16">
      <pivotArea type="data" outline="0" fieldPosition="0">
        <references count="2">
          <reference field="4294967294" count="1" selected="0">
            <x v="0"/>
          </reference>
          <reference field="3" count="1" selected="0">
            <x v="5"/>
          </reference>
        </references>
      </pivotArea>
    </chartFormat>
    <chartFormat chart="7" format="17">
      <pivotArea type="data" outline="0" fieldPosition="0">
        <references count="2">
          <reference field="4294967294" count="1" selected="0">
            <x v="0"/>
          </reference>
          <reference field="3" count="1" selected="0">
            <x v="6"/>
          </reference>
        </references>
      </pivotArea>
    </chartFormat>
    <chartFormat chart="7" format="18">
      <pivotArea type="data" outline="0" fieldPosition="0">
        <references count="2">
          <reference field="4294967294" count="1" selected="0">
            <x v="0"/>
          </reference>
          <reference field="3" count="1" selected="0">
            <x v="7"/>
          </reference>
        </references>
      </pivotArea>
    </chartFormat>
    <chartFormat chart="7" format="19">
      <pivotArea type="data" outline="0" fieldPosition="0">
        <references count="2">
          <reference field="4294967294" count="1" selected="0">
            <x v="0"/>
          </reference>
          <reference field="3" count="1" selected="0">
            <x v="8"/>
          </reference>
        </references>
      </pivotArea>
    </chartFormat>
    <chartFormat chart="7" format="20">
      <pivotArea type="data" outline="0" fieldPosition="0">
        <references count="2">
          <reference field="4294967294" count="1" selected="0">
            <x v="0"/>
          </reference>
          <reference field="3" count="1" selected="0">
            <x v="9"/>
          </reference>
        </references>
      </pivotArea>
    </chartFormat>
    <chartFormat chart="7" format="21">
      <pivotArea type="data" outline="0" fieldPosition="0">
        <references count="2">
          <reference field="4294967294" count="1" selected="0">
            <x v="0"/>
          </reference>
          <reference field="3" count="1" selected="0">
            <x v="10"/>
          </reference>
        </references>
      </pivotArea>
    </chartFormat>
    <chartFormat chart="20" format="34" series="1">
      <pivotArea type="data" outline="0" fieldPosition="0">
        <references count="1">
          <reference field="4294967294" count="1" selected="0">
            <x v="0"/>
          </reference>
        </references>
      </pivotArea>
    </chartFormat>
    <chartFormat chart="20" format="35">
      <pivotArea type="data" outline="0" fieldPosition="0">
        <references count="2">
          <reference field="4294967294" count="1" selected="0">
            <x v="0"/>
          </reference>
          <reference field="3" count="1" selected="0">
            <x v="0"/>
          </reference>
        </references>
      </pivotArea>
    </chartFormat>
    <chartFormat chart="20" format="36">
      <pivotArea type="data" outline="0" fieldPosition="0">
        <references count="2">
          <reference field="4294967294" count="1" selected="0">
            <x v="0"/>
          </reference>
          <reference field="3" count="1" selected="0">
            <x v="1"/>
          </reference>
        </references>
      </pivotArea>
    </chartFormat>
    <chartFormat chart="20" format="37">
      <pivotArea type="data" outline="0" fieldPosition="0">
        <references count="2">
          <reference field="4294967294" count="1" selected="0">
            <x v="0"/>
          </reference>
          <reference field="3" count="1" selected="0">
            <x v="3"/>
          </reference>
        </references>
      </pivotArea>
    </chartFormat>
    <chartFormat chart="20" format="38">
      <pivotArea type="data" outline="0" fieldPosition="0">
        <references count="2">
          <reference field="4294967294" count="1" selected="0">
            <x v="0"/>
          </reference>
          <reference field="3" count="1" selected="0">
            <x v="6"/>
          </reference>
        </references>
      </pivotArea>
    </chartFormat>
    <chartFormat chart="20" format="39">
      <pivotArea type="data" outline="0" fieldPosition="0">
        <references count="2">
          <reference field="4294967294" count="1" selected="0">
            <x v="0"/>
          </reference>
          <reference field="3" count="1" selected="0">
            <x v="7"/>
          </reference>
        </references>
      </pivotArea>
    </chartFormat>
    <chartFormat chart="20" format="40">
      <pivotArea type="data" outline="0" fieldPosition="0">
        <references count="2">
          <reference field="4294967294" count="1" selected="0">
            <x v="0"/>
          </reference>
          <reference field="3" count="1" selected="0">
            <x v="8"/>
          </reference>
        </references>
      </pivotArea>
    </chartFormat>
    <chartFormat chart="20" format="41">
      <pivotArea type="data" outline="0" fieldPosition="0">
        <references count="2">
          <reference field="4294967294" count="1" selected="0">
            <x v="0"/>
          </reference>
          <reference field="3" count="1" selected="0">
            <x v="9"/>
          </reference>
        </references>
      </pivotArea>
    </chartFormat>
    <chartFormat chart="20" format="42">
      <pivotArea type="data" outline="0" fieldPosition="0">
        <references count="2">
          <reference field="4294967294" count="1" selected="0">
            <x v="0"/>
          </reference>
          <reference field="3" count="1" selected="0">
            <x v="10"/>
          </reference>
        </references>
      </pivotArea>
    </chartFormat>
    <chartFormat chart="24" format="56" series="1">
      <pivotArea type="data" outline="0" fieldPosition="0">
        <references count="1">
          <reference field="4294967294" count="1" selected="0">
            <x v="0"/>
          </reference>
        </references>
      </pivotArea>
    </chartFormat>
    <chartFormat chart="24" format="57">
      <pivotArea type="data" outline="0" fieldPosition="0">
        <references count="2">
          <reference field="4294967294" count="1" selected="0">
            <x v="0"/>
          </reference>
          <reference field="3" count="1" selected="0">
            <x v="0"/>
          </reference>
        </references>
      </pivotArea>
    </chartFormat>
    <chartFormat chart="24" format="58">
      <pivotArea type="data" outline="0" fieldPosition="0">
        <references count="2">
          <reference field="4294967294" count="1" selected="0">
            <x v="0"/>
          </reference>
          <reference field="3" count="1" selected="0">
            <x v="1"/>
          </reference>
        </references>
      </pivotArea>
    </chartFormat>
    <chartFormat chart="24" format="59">
      <pivotArea type="data" outline="0" fieldPosition="0">
        <references count="2">
          <reference field="4294967294" count="1" selected="0">
            <x v="0"/>
          </reference>
          <reference field="3" count="1" selected="0">
            <x v="2"/>
          </reference>
        </references>
      </pivotArea>
    </chartFormat>
    <chartFormat chart="24" format="60">
      <pivotArea type="data" outline="0" fieldPosition="0">
        <references count="2">
          <reference field="4294967294" count="1" selected="0">
            <x v="0"/>
          </reference>
          <reference field="3" count="1" selected="0">
            <x v="3"/>
          </reference>
        </references>
      </pivotArea>
    </chartFormat>
    <chartFormat chart="24" format="61">
      <pivotArea type="data" outline="0" fieldPosition="0">
        <references count="2">
          <reference field="4294967294" count="1" selected="0">
            <x v="0"/>
          </reference>
          <reference field="3" count="1" selected="0">
            <x v="5"/>
          </reference>
        </references>
      </pivotArea>
    </chartFormat>
    <chartFormat chart="24" format="62">
      <pivotArea type="data" outline="0" fieldPosition="0">
        <references count="2">
          <reference field="4294967294" count="1" selected="0">
            <x v="0"/>
          </reference>
          <reference field="3" count="1" selected="0">
            <x v="6"/>
          </reference>
        </references>
      </pivotArea>
    </chartFormat>
    <chartFormat chart="24" format="63">
      <pivotArea type="data" outline="0" fieldPosition="0">
        <references count="2">
          <reference field="4294967294" count="1" selected="0">
            <x v="0"/>
          </reference>
          <reference field="3" count="1" selected="0">
            <x v="7"/>
          </reference>
        </references>
      </pivotArea>
    </chartFormat>
    <chartFormat chart="24" format="64">
      <pivotArea type="data" outline="0" fieldPosition="0">
        <references count="2">
          <reference field="4294967294" count="1" selected="0">
            <x v="0"/>
          </reference>
          <reference field="3" count="1" selected="0">
            <x v="8"/>
          </reference>
        </references>
      </pivotArea>
    </chartFormat>
    <chartFormat chart="24" format="65">
      <pivotArea type="data" outline="0" fieldPosition="0">
        <references count="2">
          <reference field="4294967294" count="1" selected="0">
            <x v="0"/>
          </reference>
          <reference field="3" count="1" selected="0">
            <x v="9"/>
          </reference>
        </references>
      </pivotArea>
    </chartFormat>
    <chartFormat chart="24" format="66">
      <pivotArea type="data" outline="0" fieldPosition="0">
        <references count="2">
          <reference field="4294967294" count="1" selected="0">
            <x v="0"/>
          </reference>
          <reference field="3" count="1" selected="0">
            <x v="10"/>
          </reference>
        </references>
      </pivotArea>
    </chartFormat>
    <chartFormat chart="20" format="43">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3567B3-6A31-496C-AAF9-6EC2627272C9}" name="Expense_Summary"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C3" firstHeaderRow="0" firstDataRow="1" firstDataCol="0"/>
  <pivotFields count="10">
    <pivotField numFmtId="14" showAll="0"/>
    <pivotField showAll="0"/>
    <pivotField showAll="0"/>
    <pivotField showAll="0"/>
    <pivotField showAll="0"/>
    <pivotField showAll="0"/>
    <pivotField dataField="1" showAll="0"/>
    <pivotField numFmtId="170" showAll="0"/>
    <pivotField dataField="1" numFmtId="170" showAll="0"/>
    <pivotField showAll="0"/>
  </pivotFields>
  <rowItems count="1">
    <i/>
  </rowItems>
  <colFields count="1">
    <field x="-2"/>
  </colFields>
  <colItems count="3">
    <i>
      <x/>
    </i>
    <i i="1">
      <x v="1"/>
    </i>
    <i i="2">
      <x v="2"/>
    </i>
  </colItems>
  <dataFields count="3">
    <dataField name="Sum of Total" fld="8" baseField="0" baseItem="0"/>
    <dataField name="Sum of Unit" fld="6" baseField="0" baseItem="0"/>
    <dataField name="Average of Total" fld="8" subtotal="average"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growShrinkType="insertClear" adjustColumnWidth="0" connectionId="1" xr16:uid="{2BC78008-D828-471F-80F2-3FB3827E8AE4}" autoFormatId="16" applyNumberFormats="0" applyBorderFormats="0" applyFontFormats="0" applyPatternFormats="0" applyAlignmentFormats="0" applyWidthHeightFormats="0">
  <queryTableRefresh nextId="10" unboundColumnsRight="4">
    <queryTableFields count="9">
      <queryTableField id="1" name="No." tableColumnId="1"/>
      <queryTableField id="2" name="Individual Relief Types" tableColumnId="2"/>
      <queryTableField id="3" name="Category" tableColumnId="3"/>
      <queryTableField id="4" name="Subcategory amount" tableColumnId="4"/>
      <queryTableField id="5" name="Amount" tableColumnId="5"/>
      <queryTableField id="6" dataBound="0" tableColumnId="6"/>
      <queryTableField id="7" dataBound="0" tableColumnId="7"/>
      <queryTableField id="8" dataBound="0" tableColumnId="8"/>
      <queryTableField id="9" dataBound="0"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 xr16:uid="{7755FDE0-E4B5-476E-8634-3F2EAC10D1A2}" autoFormatId="16" applyNumberFormats="0" applyBorderFormats="0" applyFontFormats="0" applyPatternFormats="0" applyAlignmentFormats="0" applyWidthHeightFormats="0">
  <queryTableRefresh nextId="6">
    <queryTableFields count="4">
      <queryTableField id="1" name="No." tableColumnId="1"/>
      <queryTableField id="2" name="Individual Relief Types" tableColumnId="2"/>
      <queryTableField id="3" name="Category" tableColumnId="3"/>
      <queryTableField id="5" name="Amount (multiply)" tableColumnId="5"/>
    </queryTableFields>
    <queryTableDeletedFields count="1">
      <deletedField name="Amount (multiply)"/>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2" xr16:uid="{99627C88-E449-42A0-9B72-325DABE617CD}" autoFormatId="16" applyNumberFormats="0" applyBorderFormats="0" applyFontFormats="0" applyPatternFormats="0" applyAlignmentFormats="0" applyWidthHeightFormats="0">
  <queryTableRefresh nextId="4">
    <queryTableFields count="2">
      <queryTableField id="1" name="Category" tableColumnId="1"/>
      <queryTableField id="2" name="Amount Available" tableColumnId="2"/>
    </queryTableFields>
  </queryTableRefresh>
</queryTable>
</file>

<file path=xl/richData/_rels/rdRichValueWebImage.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chart.googleapis.com/chart?chs=200x200&amp;&amp;cht=qr&amp;chl=https://www.hasil.gov.my/en/individual/individual-life-cycle/how-to-declare-income/tax-reliefs/" TargetMode="External"/></Relationships>
</file>

<file path=xl/richData/_rels/richValueRel.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richvalue.xml><?xml version="1.0" encoding="utf-8"?>
<rvData xmlns="http://schemas.microsoft.com/office/spreadsheetml/2017/richdata" count="3">
  <rv s="0">
    <v>0</v>
    <v>5</v>
  </rv>
  <rv s="1">
    <v>0</v>
    <v>1</v>
    <v>0</v>
    <v>0</v>
  </rv>
  <rv s="0">
    <v>1</v>
    <v>5</v>
  </rv>
</rvData>
</file>

<file path=xl/richData/rdrichvaluestructure.xml><?xml version="1.0" encoding="utf-8"?>
<rvStructures xmlns="http://schemas.microsoft.com/office/spreadsheetml/2017/richdata" count="2">
  <s t="_localImage">
    <k n="_rvRel:LocalImageIdentifier" t="i"/>
    <k n="CalcOrigin" t="i"/>
  </s>
  <s t="_webimage">
    <k n="WebImageIdentifier" t="i"/>
    <k n="CalcOrigin" t="i"/>
    <k n="ComputedImage" t="b"/>
    <k n="ImageSizing"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493A896C-F28F-465F-BCC6-64ECFCE32EBC}" sourceName="Month">
  <pivotTables>
    <pivotTable tabId="11" name="ExpensesByCategory"/>
  </pivotTables>
  <data>
    <tabular pivotCacheId="1705983378">
      <items count="12">
        <i x="6" s="1"/>
        <i x="10"/>
        <i x="8"/>
        <i x="0"/>
        <i x="4"/>
        <i x="2"/>
        <i x="7"/>
        <i x="11"/>
        <i x="9"/>
        <i x="1"/>
        <i x="5"/>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9EFA0B69-9148-4E59-9E18-DFD50B2EDA48}" sourceName="Category">
  <pivotTables>
    <pivotTable tabId="11" name="MonthlyExpenses"/>
  </pivotTables>
  <data>
    <tabular pivotCacheId="1705983378">
      <items count="12">
        <i x="2"/>
        <i x="4"/>
        <i x="8"/>
        <i x="1" s="1"/>
        <i x="0"/>
        <i x="9"/>
        <i x="5"/>
        <i x="7"/>
        <i x="3"/>
        <i x="6"/>
        <i x="10" nd="1"/>
        <i x="1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C4DB7234-2455-4C07-A1D9-A51EF5F2CB5A}" cache="Slicer_Month1" style="ExpenseStyle" lockedPosition="1" rowHeight="234950"/>
  <slicer name="Category 1" xr10:uid="{EE793AA7-89EC-4064-9D20-575C535EFA1D}" cache="Slicer_Category1" style="ExpenseStyle" lockedPosition="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71FEBB17-0F3D-4EE2-900B-0FC97E1A77BC}" cache="Slicer_Month1" caption="Month" rowHeight="234950"/>
  <slicer name="Category" xr10:uid="{E629466C-1EBF-4C0C-ABDD-D3D553A3C81D}" cache="Slicer_Category1" caption="Category" startItem="1"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891EB1D-B39A-4724-AF39-81D1B33B2DC0}" name="All_Categories" displayName="All_Categories" ref="A4:F32" totalsRowShown="0" headerRowDxfId="31" dataDxfId="30">
  <autoFilter ref="A4:F32" xr:uid="{F891EB1D-B39A-4724-AF39-81D1B33B2DC0}"/>
  <tableColumns count="6">
    <tableColumn id="1" xr3:uid="{7B00E16D-8626-474F-B612-B580F4BC4499}" name="No." dataDxfId="29"/>
    <tableColumn id="2" xr3:uid="{00511B13-C0C9-493E-BA00-5CBA187DA01F}" name="Individual Relief Types" dataDxfId="28"/>
    <tableColumn id="3" xr3:uid="{D765BFD0-4A30-4CA0-9CA7-57C24AB81006}" name="Category" dataDxfId="27"/>
    <tableColumn id="4" xr3:uid="{2849238C-0FBF-4385-B915-FFA2F10BB6CC}" name="Subcategory amount" dataDxfId="26"/>
    <tableColumn id="5" xr3:uid="{426BE023-1180-4F94-AA57-A61D317D9633}" name="Amount" dataDxfId="25"/>
    <tableColumn id="6" xr3:uid="{808859AF-E90C-4AF6-AC87-51F2F2C7B73F}" name="Amount (multiply)" dataDxfId="2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90728CA-56FA-4A1D-84A4-D6593DA65407}" name="Expenses_2023" displayName="Expenses_2023" ref="A2:J318" totalsRowShown="0" headerRowDxfId="23" dataDxfId="22">
  <autoFilter ref="A2:J318" xr:uid="{F90728CA-56FA-4A1D-84A4-D6593DA65407}"/>
  <sortState xmlns:xlrd2="http://schemas.microsoft.com/office/spreadsheetml/2017/richdata2" ref="A3:J317">
    <sortCondition ref="A2:A317"/>
  </sortState>
  <tableColumns count="10">
    <tableColumn id="1" xr3:uid="{1492D50B-EC9F-4910-9EA3-FC5713A619D2}" name="Date" dataDxfId="21"/>
    <tableColumn id="9" xr3:uid="{8E166BD5-274D-4FAF-9458-6CA93DFEC6B5}" name="Month" dataDxfId="20"/>
    <tableColumn id="2" xr3:uid="{537F1994-EBA3-4F34-AB46-0572D8132936}" name="Item" dataDxfId="19"/>
    <tableColumn id="3" xr3:uid="{5AAE84FE-2FC0-4399-8BBC-8EB2086AA909}" name="Category" dataDxfId="18"/>
    <tableColumn id="4" xr3:uid="{A97E8506-7619-4B69-8B8C-109207AB961B}" name="Subcategory" dataDxfId="17"/>
    <tableColumn id="5" xr3:uid="{9DA466E6-6A0D-45C7-81ED-EA3690640945}" name="Recipient" dataDxfId="16"/>
    <tableColumn id="6" xr3:uid="{2EC8962B-2D2B-4E1D-9DD0-F7A3C8B5CE0F}" name="Unit" dataDxfId="15"/>
    <tableColumn id="7" xr3:uid="{C3F1992D-925C-4C71-8591-B5AF5DA24DE9}" name="Price" dataDxfId="14"/>
    <tableColumn id="8" xr3:uid="{10579627-24BD-457D-A3CC-D0F62F8208AD}" name="Total" dataDxfId="13"/>
    <tableColumn id="10" xr3:uid="{E01A5FF9-6384-43E7-9BC7-EFDD1729416E}" name="Tax Relief Category" dataDxfId="12"/>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14F5812-9764-415F-B31C-F15CE2D53FF6}" name="Expenses_Categories" displayName="Expenses_Categories" ref="A1:I21" tableType="queryTable" totalsRowShown="0" headerRowCellStyle="Accent5">
  <autoFilter ref="A1:I21" xr:uid="{314F5812-9764-415F-B31C-F15CE2D53FF6}"/>
  <tableColumns count="9">
    <tableColumn id="1" xr3:uid="{D2FC5CD1-EC0E-4914-B3CB-25A5A24FE17C}" uniqueName="1" name="No." queryTableFieldId="1"/>
    <tableColumn id="2" xr3:uid="{D5EFF2EC-1ED3-4C53-8F2E-BDF0D17E2C37}" uniqueName="2" name="Individual Relief Types" queryTableFieldId="2" dataDxfId="9"/>
    <tableColumn id="3" xr3:uid="{4ED1523D-AEBB-48F7-AF37-98F4A35658EC}" uniqueName="3" name="Category" queryTableFieldId="3" dataDxfId="8"/>
    <tableColumn id="4" xr3:uid="{39C5975B-E422-4CCC-BB0D-FB8BE83705F0}" uniqueName="4" name="Subcategory amount" queryTableFieldId="4"/>
    <tableColumn id="5" xr3:uid="{EC13115E-4B34-401A-BE35-E3C92546442F}" uniqueName="5" name="Amount" queryTableFieldId="5"/>
    <tableColumn id="6" xr3:uid="{63A8B45B-4AD1-44FE-BCFE-4266CF608659}" uniqueName="6" name="Number" queryTableFieldId="6">
      <calculatedColumnFormula>IF(ISNUMBER(E2),SUM(F1,1),F1)</calculatedColumnFormula>
    </tableColumn>
    <tableColumn id="7" xr3:uid="{16454788-45F0-4EE8-AAEC-5371D3F58719}" uniqueName="7" name="Amount from expenses" queryTableFieldId="7" dataCellStyle="Input">
      <calculatedColumnFormula array="1">SUM(_xlfn._xlws.FILTER(Expenses_2023[Total],Expenses_2023[Tax Relief Category]=Expenses_Categories[[#This Row],[Category]],0))</calculatedColumnFormula>
    </tableColumn>
    <tableColumn id="8" xr3:uid="{37A37013-53E7-4FF0-9FF4-C030D5B8D295}" uniqueName="8" name="Total" queryTableFieldId="8">
      <calculatedColumnFormula>MIN(G2,D2:E2)</calculatedColumnFormula>
    </tableColumn>
    <tableColumn id="9" xr3:uid="{5CC1811F-92B2-4873-BAC8-4B3392796814}" uniqueName="9" name="Tax Relief" queryTableFieldId="9">
      <calculatedColumnFormula>IF(ISNUMBER(E2),MIN(SUMIF($F$2:F21,F2,$H$2:H21),E2),0)</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84AF378-FFA0-46F1-91DB-83271F99367E}" name="Toggled_Categories" displayName="Toggled_Categories" ref="A1:D9" tableType="queryTable" totalsRowShown="0">
  <autoFilter ref="A1:D9" xr:uid="{984AF378-FFA0-46F1-91DB-83271F99367E}"/>
  <tableColumns count="4">
    <tableColumn id="1" xr3:uid="{65F8E9B7-E758-4812-B681-26F88C4D5BAA}" uniqueName="1" name="No." queryTableFieldId="1"/>
    <tableColumn id="2" xr3:uid="{3D4F3DE4-211F-4AA3-9385-DF2C9A0FE64B}" uniqueName="2" name="Individual Relief Types" queryTableFieldId="2" dataDxfId="7"/>
    <tableColumn id="3" xr3:uid="{47A8CB62-1BBB-4875-83B0-43349501DA95}" uniqueName="3" name="Category" queryTableFieldId="3" dataDxfId="6"/>
    <tableColumn id="5" xr3:uid="{A45A8E74-F1EF-43F2-999B-721B51203B8B}" uniqueName="5" name="Amount (multiply)"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A28396-4797-414E-A95F-7D24B31551B1}" name="Improvement_taxRelief" displayName="Improvement_taxRelief" ref="G3:H12" tableType="queryTable" totalsRowShown="0">
  <autoFilter ref="G3:H12" xr:uid="{8FA28396-4797-414E-A95F-7D24B31551B1}"/>
  <tableColumns count="2">
    <tableColumn id="1" xr3:uid="{EC09F165-25C3-469B-A753-14C18B44EE55}" uniqueName="1" name="Category" queryTableFieldId="1" dataDxfId="5"/>
    <tableColumn id="2" xr3:uid="{D45FCF29-5659-4CAD-AB5A-EAD1D0C3CAFF}" uniqueName="2" name="Amount available"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5596C6-84B4-440C-837D-171629E78DCA}" name="Tax_Payable_Table" displayName="Tax_Payable_Table" ref="C9:E20" totalsRowCount="1">
  <autoFilter ref="C9:E19" xr:uid="{D45596C6-84B4-440C-837D-171629E78DCA}"/>
  <tableColumns count="3">
    <tableColumn id="1" xr3:uid="{02DBB4A9-C158-425A-9E2D-52988395841A}" name="Tax Bracket" totalsRowLabel="Total"/>
    <tableColumn id="2" xr3:uid="{912A304D-68F7-4865-951F-99E020F5D09C}" name="Tax Rate"/>
    <tableColumn id="3" xr3:uid="{9A38D691-313E-42A8-B89B-8EEC474C766D}" name="Taxes" totalsRowFunction="sum" dataDxfId="4">
      <calculatedColumnFormula>IFERROR(MAX(0,IF($E$6&gt;Tax_Payable_Table[[#This Row],[Tax Bracket]],Tax_Payable_Table[[#This Row],[Tax Rate]]*(Tax_Payable_Table[[#This Row],[Tax Bracket]]-C9),Tax_Payable_Table[[#This Row],[Tax Rate]]*($E$6-C9))),0)</calculatedColumnFormula>
    </tableColumn>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8D0226-5DF4-40EA-9FD9-CE59CFC91780}" name="Monthly_Tax_Total" displayName="Monthly_Tax_Total" ref="C31:E42" totalsRowCount="1">
  <autoFilter ref="C31:E41" xr:uid="{478D0226-5DF4-40EA-9FD9-CE59CFC91780}"/>
  <tableColumns count="3">
    <tableColumn id="1" xr3:uid="{54A4BF8A-F545-4273-9FC2-2345A70A2D04}" name="Tax Bracket" totalsRowLabel="Total"/>
    <tableColumn id="2" xr3:uid="{B92CCAF9-6DB8-4CC7-B149-451173D2780D}" name="Tax Rate"/>
    <tableColumn id="3" xr3:uid="{5EC773DB-4F73-43BE-8551-0FF350068A02}" name="Taxes" totalsRowFunction="sum" dataDxfId="3">
      <calculatedColumnFormula>IFERROR(MAX(0,IF($E$29&gt;Monthly_Tax_Total[[#This Row],[Tax Bracket]],Monthly_Tax_Total[[#This Row],[Tax Rate]]*(Monthly_Tax_Total[[#This Row],[Tax Bracket]]-C31),Monthly_Tax_Total[[#This Row],[Tax Rate]]*($E$29-C31))),0)</calculatedColumnFormula>
    </tableColumn>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7970891-08F1-454C-8195-66F96E3F5B36}" name="Table7" displayName="Table7" ref="A2:B5" totalsRowShown="0">
  <autoFilter ref="A2:B5" xr:uid="{97970891-08F1-454C-8195-66F96E3F5B36}"/>
  <tableColumns count="2">
    <tableColumn id="1" xr3:uid="{AB52F99C-DCFC-425F-8527-56D5A790A3E3}" name="Tax Deductions"/>
    <tableColumn id="2" xr3:uid="{4E91C4F9-D8AF-4BA5-B457-900906F40499}" name="Total"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5.emf"/><Relationship Id="rId5" Type="http://schemas.openxmlformats.org/officeDocument/2006/relationships/control" Target="../activeX/activeX2.xml"/><Relationship Id="rId10" Type="http://schemas.openxmlformats.org/officeDocument/2006/relationships/image" Target="../media/image7.emf"/><Relationship Id="rId4" Type="http://schemas.openxmlformats.org/officeDocument/2006/relationships/image" Target="../media/image4.emf"/><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20.emf"/><Relationship Id="rId10" Type="http://schemas.openxmlformats.org/officeDocument/2006/relationships/ctrlProp" Target="../ctrlProps/ctrlProp5.xml"/><Relationship Id="rId4" Type="http://schemas.openxmlformats.org/officeDocument/2006/relationships/control" Target="../activeX/activeX5.xml"/><Relationship Id="rId9"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3.vml"/><Relationship Id="rId1" Type="http://schemas.openxmlformats.org/officeDocument/2006/relationships/drawing" Target="../drawings/drawing6.xml"/><Relationship Id="rId5" Type="http://schemas.microsoft.com/office/2007/relationships/slicer" Target="../slicers/slicer1.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2.xml"/><Relationship Id="rId5" Type="http://schemas.openxmlformats.org/officeDocument/2006/relationships/drawing" Target="../drawings/drawing7.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image" Target="../media/image24.emf"/><Relationship Id="rId10" Type="http://schemas.openxmlformats.org/officeDocument/2006/relationships/ctrlProp" Target="../ctrlProps/ctrlProp10.xml"/><Relationship Id="rId4" Type="http://schemas.openxmlformats.org/officeDocument/2006/relationships/control" Target="../activeX/activeX7.xml"/><Relationship Id="rId9"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C07F6-3B23-4093-A3B2-4C7524DE3176}">
  <sheetPr codeName="Sheet12"/>
  <dimension ref="A1:V30"/>
  <sheetViews>
    <sheetView showGridLines="0" showRowColHeaders="0" zoomScaleNormal="100" workbookViewId="0">
      <pane ySplit="1" topLeftCell="A2" activePane="bottomLeft" state="frozen"/>
      <selection pane="bottomLeft" activeCell="J14" sqref="J14"/>
    </sheetView>
  </sheetViews>
  <sheetFormatPr defaultColWidth="0" defaultRowHeight="14.4" x14ac:dyDescent="0.3"/>
  <cols>
    <col min="1" max="5" width="8.88671875" customWidth="1"/>
    <col min="6" max="6" width="16.21875" customWidth="1"/>
    <col min="7" max="22" width="8.88671875" customWidth="1"/>
    <col min="23" max="16384" width="8.88671875" hidden="1"/>
  </cols>
  <sheetData>
    <row r="1" spans="1:22" s="129" customFormat="1" ht="40.049999999999997" customHeight="1" thickBot="1" x14ac:dyDescent="0.35">
      <c r="A1" s="130"/>
      <c r="B1" s="130"/>
      <c r="C1" s="130"/>
      <c r="D1" s="130"/>
      <c r="E1" s="130"/>
      <c r="F1" s="130"/>
      <c r="G1" s="130"/>
      <c r="H1" s="130"/>
      <c r="I1" s="130"/>
      <c r="J1" s="130"/>
      <c r="K1" s="130"/>
      <c r="L1" s="130"/>
      <c r="M1" s="130"/>
      <c r="N1" s="130"/>
      <c r="O1" s="130"/>
      <c r="P1" s="130"/>
      <c r="Q1" s="130"/>
      <c r="R1" s="130"/>
      <c r="S1" s="130"/>
      <c r="T1" s="130"/>
      <c r="U1" s="130"/>
      <c r="V1" s="130"/>
    </row>
    <row r="2" spans="1:22" ht="15.6" thickTop="1" thickBot="1" x14ac:dyDescent="0.35">
      <c r="A2" s="17"/>
      <c r="B2" s="131"/>
      <c r="C2" s="131"/>
      <c r="D2" s="131"/>
      <c r="E2" s="131"/>
      <c r="F2" s="131"/>
      <c r="G2" s="131"/>
      <c r="H2" s="131"/>
      <c r="I2" s="131"/>
      <c r="J2" s="131"/>
      <c r="K2" s="131"/>
      <c r="L2" s="131"/>
      <c r="M2" s="131"/>
      <c r="N2" s="131"/>
      <c r="O2" s="131"/>
      <c r="P2" s="131"/>
      <c r="Q2" s="131"/>
      <c r="R2" s="131"/>
      <c r="S2" s="131"/>
      <c r="T2" s="131"/>
      <c r="U2" s="131"/>
      <c r="V2" s="131"/>
    </row>
    <row r="3" spans="1:22" ht="24" customHeight="1" thickTop="1" thickBot="1" x14ac:dyDescent="0.35">
      <c r="A3" s="17"/>
      <c r="B3" s="146" t="s">
        <v>436</v>
      </c>
      <c r="C3" s="146"/>
      <c r="D3" s="146"/>
      <c r="E3" s="146"/>
      <c r="F3" s="146"/>
      <c r="G3" s="146"/>
      <c r="H3" s="146"/>
      <c r="I3" s="146"/>
      <c r="J3" s="146"/>
      <c r="K3" s="146"/>
      <c r="L3" s="146"/>
      <c r="M3" s="146"/>
      <c r="N3" s="146"/>
      <c r="O3" s="146"/>
      <c r="P3" s="146"/>
      <c r="Q3" s="146"/>
      <c r="R3" s="146"/>
      <c r="S3" s="146"/>
      <c r="T3" s="146"/>
      <c r="U3" s="146"/>
      <c r="V3" s="146"/>
    </row>
    <row r="4" spans="1:22" ht="15" thickTop="1" x14ac:dyDescent="0.3">
      <c r="A4" s="17"/>
      <c r="B4" s="17"/>
      <c r="C4" s="17"/>
      <c r="D4" s="17"/>
      <c r="E4" s="17"/>
      <c r="F4" s="17"/>
      <c r="G4" s="17"/>
      <c r="H4" s="17"/>
      <c r="I4" s="17"/>
      <c r="J4" s="17"/>
      <c r="K4" s="17"/>
      <c r="L4" s="17"/>
      <c r="M4" s="17"/>
      <c r="N4" s="17"/>
      <c r="O4" s="17"/>
      <c r="P4" s="17"/>
      <c r="Q4" s="17"/>
      <c r="R4" s="17"/>
      <c r="S4" s="17"/>
      <c r="T4" s="17"/>
      <c r="U4" s="17"/>
      <c r="V4" s="132"/>
    </row>
    <row r="5" spans="1:22" ht="33" x14ac:dyDescent="0.6">
      <c r="A5" s="17"/>
      <c r="B5" s="17"/>
      <c r="C5" s="133" t="s">
        <v>437</v>
      </c>
      <c r="D5" s="17"/>
      <c r="E5" s="17"/>
      <c r="F5" s="17"/>
      <c r="G5" s="17"/>
      <c r="H5" s="17"/>
      <c r="I5" s="17"/>
      <c r="J5" s="17"/>
      <c r="K5" s="17"/>
      <c r="L5" s="17"/>
      <c r="M5" s="17"/>
      <c r="N5" s="17"/>
      <c r="O5" s="17"/>
      <c r="P5" s="17"/>
      <c r="Q5" s="17"/>
      <c r="R5" s="17"/>
      <c r="S5" s="17"/>
      <c r="T5" s="17"/>
      <c r="U5" s="17"/>
      <c r="V5" s="17"/>
    </row>
    <row r="6" spans="1:22" x14ac:dyDescent="0.3">
      <c r="A6" s="17"/>
      <c r="B6" s="17"/>
      <c r="C6" s="17"/>
      <c r="D6" s="17"/>
      <c r="E6" s="17"/>
      <c r="F6" s="17"/>
      <c r="G6" s="17"/>
      <c r="H6" s="17"/>
      <c r="I6" s="17"/>
      <c r="J6" s="17"/>
      <c r="K6" s="17"/>
      <c r="L6" s="17"/>
      <c r="M6" s="17"/>
      <c r="N6" s="17"/>
      <c r="O6" s="17"/>
      <c r="P6" s="17"/>
      <c r="Q6" s="17"/>
      <c r="R6" s="17"/>
      <c r="S6" s="17"/>
      <c r="T6" s="17"/>
      <c r="U6" s="17"/>
      <c r="V6" s="17"/>
    </row>
    <row r="7" spans="1:22" ht="21" x14ac:dyDescent="0.4">
      <c r="A7" s="17"/>
      <c r="B7" s="17"/>
      <c r="C7" s="17"/>
      <c r="D7" s="134" t="s">
        <v>438</v>
      </c>
      <c r="E7" s="134"/>
      <c r="F7" s="134"/>
      <c r="G7" s="134"/>
      <c r="H7" s="134"/>
      <c r="I7" s="134"/>
      <c r="J7" s="134"/>
      <c r="K7" s="134"/>
      <c r="L7" s="134"/>
      <c r="M7" s="17"/>
      <c r="N7" s="17"/>
      <c r="O7" s="17"/>
      <c r="P7" s="17"/>
      <c r="Q7" s="17"/>
      <c r="R7" s="17"/>
      <c r="S7" s="17"/>
      <c r="T7" s="17"/>
      <c r="U7" s="17"/>
      <c r="V7" s="17"/>
    </row>
    <row r="8" spans="1:22" ht="21" x14ac:dyDescent="0.4">
      <c r="A8" s="17"/>
      <c r="B8" s="17"/>
      <c r="C8" s="17"/>
      <c r="D8" s="134"/>
      <c r="E8" s="134" t="s">
        <v>440</v>
      </c>
      <c r="F8" s="134"/>
      <c r="G8" s="134" t="s">
        <v>444</v>
      </c>
      <c r="H8" s="134"/>
      <c r="I8" s="134"/>
      <c r="J8" s="134"/>
      <c r="K8" s="134"/>
      <c r="L8" s="134"/>
      <c r="M8" s="17"/>
      <c r="N8" s="17"/>
      <c r="O8" s="17"/>
      <c r="P8" s="17"/>
      <c r="Q8" s="17"/>
      <c r="R8" s="17"/>
      <c r="S8" s="17"/>
      <c r="T8" s="17"/>
      <c r="U8" s="17"/>
      <c r="V8" s="17"/>
    </row>
    <row r="9" spans="1:22" ht="21" x14ac:dyDescent="0.4">
      <c r="A9" s="17"/>
      <c r="B9" s="17"/>
      <c r="C9" s="17"/>
      <c r="D9" s="134"/>
      <c r="E9" s="134" t="s">
        <v>441</v>
      </c>
      <c r="F9" s="134"/>
      <c r="G9" s="134" t="s">
        <v>445</v>
      </c>
      <c r="H9" s="134"/>
      <c r="I9" s="134"/>
      <c r="J9" s="134"/>
      <c r="K9" s="134"/>
      <c r="L9" s="134"/>
      <c r="M9" s="17"/>
      <c r="N9" s="17"/>
      <c r="O9" s="17"/>
      <c r="P9" s="17"/>
      <c r="Q9" s="17"/>
      <c r="R9" s="17"/>
      <c r="S9" s="17"/>
      <c r="T9" s="17"/>
      <c r="U9" s="17"/>
      <c r="V9" s="17"/>
    </row>
    <row r="10" spans="1:22" ht="21" x14ac:dyDescent="0.4">
      <c r="A10" s="17"/>
      <c r="B10" s="17"/>
      <c r="C10" s="17"/>
      <c r="D10" s="134"/>
      <c r="E10" s="134" t="s">
        <v>439</v>
      </c>
      <c r="F10" s="134"/>
      <c r="G10" s="134" t="s">
        <v>449</v>
      </c>
      <c r="H10" s="134"/>
      <c r="I10" s="134"/>
      <c r="J10" s="134"/>
      <c r="K10" s="134"/>
      <c r="L10" s="134"/>
      <c r="M10" s="17"/>
      <c r="N10" s="17"/>
      <c r="O10" s="17"/>
      <c r="P10" s="17"/>
      <c r="Q10" s="17"/>
      <c r="R10" s="17"/>
      <c r="S10" s="17"/>
      <c r="T10" s="17"/>
      <c r="U10" s="17"/>
      <c r="V10" s="17"/>
    </row>
    <row r="11" spans="1:22" ht="21" x14ac:dyDescent="0.4">
      <c r="A11" s="17"/>
      <c r="B11" s="17"/>
      <c r="C11" s="17"/>
      <c r="D11" s="134"/>
      <c r="E11" s="134" t="s">
        <v>442</v>
      </c>
      <c r="F11" s="134"/>
      <c r="G11" s="134" t="s">
        <v>446</v>
      </c>
      <c r="H11" s="134"/>
      <c r="I11" s="134"/>
      <c r="J11" s="134"/>
      <c r="K11" s="134"/>
      <c r="L11" s="134"/>
      <c r="M11" s="17"/>
      <c r="N11" s="17"/>
      <c r="O11" s="17"/>
      <c r="P11" s="17"/>
      <c r="Q11" s="17"/>
      <c r="R11" s="17"/>
      <c r="S11" s="17"/>
      <c r="T11" s="17"/>
      <c r="U11" s="17"/>
      <c r="V11" s="17"/>
    </row>
    <row r="12" spans="1:22" ht="21" x14ac:dyDescent="0.4">
      <c r="A12" s="17"/>
      <c r="B12" s="17"/>
      <c r="C12" s="17"/>
      <c r="D12" s="134"/>
      <c r="E12" s="134" t="s">
        <v>443</v>
      </c>
      <c r="F12" s="134"/>
      <c r="G12" s="134" t="s">
        <v>447</v>
      </c>
      <c r="H12" s="134"/>
      <c r="I12" s="134"/>
      <c r="J12" s="134"/>
      <c r="K12" s="134"/>
      <c r="L12" s="134"/>
      <c r="M12" s="17"/>
      <c r="N12" s="17"/>
      <c r="O12" s="17"/>
      <c r="P12" s="17"/>
      <c r="Q12" s="17"/>
      <c r="R12" s="17"/>
      <c r="S12" s="17"/>
      <c r="T12" s="17"/>
      <c r="U12" s="17"/>
      <c r="V12" s="17"/>
    </row>
    <row r="13" spans="1:22" ht="21" x14ac:dyDescent="0.4">
      <c r="A13" s="17"/>
      <c r="B13" s="17"/>
      <c r="C13" s="17"/>
      <c r="D13" s="134"/>
      <c r="E13" s="134"/>
      <c r="F13" s="134"/>
      <c r="G13" s="134"/>
      <c r="H13" s="134"/>
      <c r="I13" s="134"/>
      <c r="J13" s="134"/>
      <c r="K13" s="134"/>
      <c r="L13" s="134"/>
      <c r="M13" s="17"/>
      <c r="N13" s="17"/>
      <c r="O13" s="17"/>
      <c r="P13" s="17"/>
      <c r="Q13" s="17"/>
      <c r="R13" s="17"/>
      <c r="S13" s="17"/>
      <c r="T13" s="17"/>
      <c r="U13" s="17"/>
      <c r="V13" s="17"/>
    </row>
    <row r="14" spans="1:22" ht="21" x14ac:dyDescent="0.4">
      <c r="A14" s="17"/>
      <c r="B14" s="17"/>
      <c r="C14" s="17"/>
      <c r="D14" s="134" t="s">
        <v>451</v>
      </c>
      <c r="E14" s="17"/>
      <c r="F14" s="17"/>
      <c r="G14" s="17"/>
      <c r="H14" s="17"/>
      <c r="I14" s="17"/>
      <c r="J14" s="17"/>
      <c r="K14" s="17"/>
      <c r="L14" s="17"/>
      <c r="M14" s="17"/>
      <c r="N14" s="17"/>
      <c r="O14" s="17"/>
      <c r="P14" s="17"/>
      <c r="Q14" s="17"/>
      <c r="R14" s="17"/>
      <c r="S14" s="17"/>
      <c r="T14" s="17"/>
      <c r="U14" s="17"/>
      <c r="V14" s="17"/>
    </row>
    <row r="15" spans="1:22" x14ac:dyDescent="0.3">
      <c r="A15" s="17"/>
      <c r="B15" s="17"/>
      <c r="C15" s="17"/>
      <c r="E15" s="17"/>
      <c r="F15" s="17"/>
      <c r="G15" s="17"/>
      <c r="H15" s="17"/>
      <c r="I15" s="17"/>
      <c r="J15" s="17"/>
      <c r="K15" s="17"/>
      <c r="L15" s="17"/>
      <c r="M15" s="17"/>
      <c r="N15" s="17"/>
      <c r="O15" s="17"/>
      <c r="P15" s="17"/>
      <c r="Q15" s="17"/>
      <c r="R15" s="17"/>
      <c r="S15" s="17"/>
      <c r="T15" s="17"/>
      <c r="U15" s="17"/>
      <c r="V15" s="17"/>
    </row>
    <row r="16" spans="1:22" ht="21" x14ac:dyDescent="0.4">
      <c r="A16" s="17"/>
      <c r="D16" s="134" t="s">
        <v>450</v>
      </c>
    </row>
    <row r="17" spans="1:22" x14ac:dyDescent="0.3">
      <c r="A17" s="17"/>
      <c r="B17" s="17"/>
      <c r="C17" s="17"/>
      <c r="D17" s="17"/>
      <c r="E17" s="17"/>
      <c r="F17" s="17"/>
      <c r="G17" s="17"/>
      <c r="H17" s="17"/>
      <c r="I17" s="17"/>
      <c r="J17" s="17"/>
      <c r="K17" s="17"/>
      <c r="L17" s="17"/>
      <c r="M17" s="17"/>
      <c r="N17" s="17"/>
      <c r="O17" s="17"/>
      <c r="P17" s="17"/>
      <c r="Q17" s="17"/>
      <c r="R17" s="17"/>
      <c r="S17" s="17"/>
      <c r="T17" s="17"/>
      <c r="U17" s="17"/>
      <c r="V17" s="17"/>
    </row>
    <row r="18" spans="1:22" x14ac:dyDescent="0.3">
      <c r="A18" s="17"/>
      <c r="B18" s="17"/>
      <c r="C18" s="17"/>
      <c r="D18" s="17"/>
      <c r="E18" s="17"/>
      <c r="F18" s="17"/>
      <c r="G18" s="17"/>
      <c r="H18" s="17"/>
      <c r="I18" s="17"/>
      <c r="J18" s="17"/>
      <c r="K18" s="17"/>
      <c r="L18" s="17"/>
      <c r="M18" s="17"/>
      <c r="N18" s="17"/>
      <c r="O18" s="17"/>
      <c r="P18" s="17"/>
      <c r="Q18" s="17"/>
      <c r="R18" s="17"/>
      <c r="S18" s="17"/>
      <c r="T18" s="17"/>
      <c r="U18" s="17"/>
      <c r="V18" s="17"/>
    </row>
    <row r="19" spans="1:22" x14ac:dyDescent="0.3">
      <c r="A19" s="17"/>
      <c r="B19" s="17"/>
      <c r="C19" s="17"/>
      <c r="D19" s="17"/>
      <c r="E19" s="17"/>
      <c r="F19" s="17"/>
      <c r="G19" s="17"/>
      <c r="H19" s="17"/>
      <c r="I19" s="17"/>
      <c r="J19" s="17"/>
      <c r="K19" s="17"/>
      <c r="L19" s="17"/>
      <c r="M19" s="17"/>
      <c r="N19" s="17"/>
      <c r="O19" s="17"/>
      <c r="P19" s="17"/>
      <c r="Q19" s="17"/>
      <c r="R19" s="17"/>
      <c r="S19" s="17"/>
      <c r="T19" s="17"/>
      <c r="U19" s="17"/>
      <c r="V19" s="17"/>
    </row>
    <row r="20" spans="1:22" x14ac:dyDescent="0.3">
      <c r="A20" s="17"/>
      <c r="B20" s="17"/>
      <c r="C20" s="17"/>
      <c r="D20" s="17"/>
      <c r="E20" s="17"/>
      <c r="F20" s="17"/>
      <c r="G20" s="17"/>
      <c r="H20" s="17"/>
      <c r="I20" s="17"/>
      <c r="J20" s="17"/>
      <c r="K20" s="17"/>
      <c r="L20" s="17"/>
      <c r="M20" s="17"/>
      <c r="N20" s="17"/>
      <c r="O20" s="17"/>
      <c r="P20" s="17"/>
      <c r="Q20" s="17"/>
      <c r="R20" s="17"/>
      <c r="S20" s="17"/>
      <c r="T20" s="17"/>
      <c r="U20" s="17"/>
      <c r="V20" s="17"/>
    </row>
    <row r="21" spans="1:22" x14ac:dyDescent="0.3">
      <c r="A21" s="17"/>
      <c r="B21" s="17"/>
      <c r="C21" s="17"/>
      <c r="D21" s="17"/>
      <c r="E21" s="17"/>
      <c r="F21" s="17"/>
      <c r="G21" s="17"/>
      <c r="H21" s="17"/>
      <c r="I21" s="17"/>
      <c r="J21" s="17"/>
      <c r="K21" s="17"/>
      <c r="L21" s="17"/>
      <c r="M21" s="17"/>
      <c r="N21" s="17"/>
      <c r="O21" s="17"/>
      <c r="P21" s="17"/>
      <c r="Q21" s="17"/>
      <c r="R21" s="17"/>
      <c r="S21" s="17"/>
      <c r="T21" s="17"/>
      <c r="U21" s="17"/>
      <c r="V21" s="17"/>
    </row>
    <row r="22" spans="1:22" x14ac:dyDescent="0.3">
      <c r="A22" s="17"/>
      <c r="B22" s="17"/>
      <c r="C22" s="17"/>
      <c r="D22" s="17"/>
      <c r="E22" s="17"/>
      <c r="F22" s="17"/>
      <c r="G22" s="17"/>
      <c r="H22" s="17"/>
      <c r="I22" s="17"/>
      <c r="J22" s="17"/>
      <c r="K22" s="17"/>
      <c r="L22" s="17"/>
      <c r="M22" s="17"/>
      <c r="N22" s="17"/>
      <c r="O22" s="17"/>
      <c r="P22" s="17"/>
      <c r="Q22" s="17"/>
      <c r="R22" s="17"/>
      <c r="S22" s="17"/>
      <c r="T22" s="17"/>
      <c r="U22" s="17"/>
      <c r="V22" s="17"/>
    </row>
    <row r="23" spans="1:22" x14ac:dyDescent="0.3">
      <c r="A23" s="17"/>
      <c r="B23" s="17"/>
      <c r="C23" s="17"/>
      <c r="D23" s="17"/>
      <c r="E23" s="17"/>
      <c r="F23" s="17"/>
      <c r="G23" s="17"/>
      <c r="H23" s="17"/>
      <c r="I23" s="17"/>
      <c r="J23" s="17"/>
      <c r="K23" s="17"/>
      <c r="L23" s="17"/>
      <c r="M23" s="17"/>
      <c r="N23" s="17"/>
      <c r="O23" s="17"/>
      <c r="P23" s="17"/>
      <c r="Q23" s="17"/>
      <c r="R23" s="17"/>
      <c r="S23" s="17"/>
      <c r="T23" s="17"/>
      <c r="U23" s="17"/>
      <c r="V23" s="17"/>
    </row>
    <row r="24" spans="1:22" x14ac:dyDescent="0.3">
      <c r="A24" s="17"/>
      <c r="B24" s="17"/>
      <c r="C24" s="17"/>
      <c r="D24" s="17"/>
      <c r="E24" s="17"/>
      <c r="F24" s="17"/>
      <c r="G24" s="17"/>
      <c r="H24" s="17"/>
      <c r="I24" s="17"/>
      <c r="J24" s="17"/>
      <c r="K24" s="17"/>
      <c r="L24" s="17"/>
      <c r="M24" s="17"/>
      <c r="N24" s="17"/>
      <c r="O24" s="17"/>
      <c r="P24" s="17"/>
      <c r="Q24" s="17"/>
      <c r="R24" s="17"/>
      <c r="S24" s="17"/>
      <c r="T24" s="17"/>
      <c r="U24" s="17"/>
      <c r="V24" s="17"/>
    </row>
    <row r="25" spans="1:22" x14ac:dyDescent="0.3">
      <c r="A25" s="17"/>
      <c r="B25" s="17"/>
      <c r="C25" s="17"/>
      <c r="D25" s="17"/>
      <c r="E25" s="17"/>
      <c r="F25" s="17"/>
      <c r="G25" s="17"/>
      <c r="H25" s="17"/>
      <c r="I25" s="17"/>
      <c r="J25" s="17"/>
      <c r="K25" s="17"/>
      <c r="L25" s="17"/>
      <c r="M25" s="17"/>
      <c r="N25" s="17"/>
      <c r="O25" s="17"/>
      <c r="P25" s="17"/>
      <c r="Q25" s="17"/>
      <c r="R25" s="17"/>
      <c r="S25" s="17"/>
      <c r="T25" s="17"/>
      <c r="U25" s="17"/>
      <c r="V25" s="17"/>
    </row>
    <row r="26" spans="1:22" ht="15" thickBot="1" x14ac:dyDescent="0.35">
      <c r="A26" s="17"/>
      <c r="B26" s="17"/>
      <c r="C26" s="17"/>
      <c r="D26" s="17"/>
      <c r="E26" s="17"/>
      <c r="F26" s="17"/>
      <c r="G26" s="17"/>
      <c r="H26" s="17"/>
      <c r="I26" s="17"/>
      <c r="J26" s="17"/>
      <c r="K26" s="17"/>
      <c r="L26" s="17"/>
      <c r="M26" s="17"/>
      <c r="N26" s="17"/>
      <c r="O26" s="17"/>
      <c r="P26" s="17"/>
      <c r="Q26" s="17"/>
      <c r="R26" s="17"/>
      <c r="S26" s="17"/>
      <c r="T26" s="17"/>
      <c r="U26" s="17"/>
      <c r="V26" s="17"/>
    </row>
    <row r="27" spans="1:22" ht="19.2" thickTop="1" thickBot="1" x14ac:dyDescent="0.35">
      <c r="A27" s="17"/>
      <c r="B27" s="146" t="s">
        <v>448</v>
      </c>
      <c r="C27" s="146"/>
      <c r="D27" s="146"/>
      <c r="E27" s="146"/>
      <c r="F27" s="146"/>
      <c r="G27" s="146"/>
      <c r="H27" s="146"/>
      <c r="I27" s="146"/>
      <c r="J27" s="146"/>
      <c r="K27" s="146"/>
      <c r="L27" s="146"/>
      <c r="M27" s="146"/>
      <c r="N27" s="146"/>
      <c r="O27" s="146"/>
      <c r="P27" s="146"/>
      <c r="Q27" s="146"/>
      <c r="R27" s="146"/>
      <c r="S27" s="146"/>
      <c r="T27" s="146"/>
      <c r="U27" s="146"/>
      <c r="V27" s="146"/>
    </row>
    <row r="28" spans="1:22" ht="15" thickTop="1" x14ac:dyDescent="0.3">
      <c r="A28" s="17"/>
      <c r="B28" s="17"/>
      <c r="C28" s="17"/>
      <c r="D28" s="17"/>
      <c r="E28" s="17"/>
      <c r="F28" s="17"/>
      <c r="G28" s="17"/>
      <c r="H28" s="17"/>
      <c r="I28" s="17"/>
      <c r="J28" s="17"/>
      <c r="K28" s="17"/>
      <c r="L28" s="17"/>
      <c r="M28" s="17"/>
      <c r="N28" s="17"/>
      <c r="P28" s="17"/>
      <c r="Q28" s="17"/>
      <c r="R28" s="17"/>
      <c r="S28" s="17"/>
      <c r="T28" s="17"/>
      <c r="U28" s="17"/>
      <c r="V28" s="17"/>
    </row>
    <row r="29" spans="1:22" x14ac:dyDescent="0.3">
      <c r="A29" s="17"/>
      <c r="B29" s="17"/>
      <c r="C29" s="17"/>
      <c r="D29" s="17"/>
      <c r="E29" s="17"/>
      <c r="F29" s="17"/>
      <c r="G29" s="17"/>
      <c r="H29" s="17"/>
      <c r="I29" s="17"/>
      <c r="J29" s="17"/>
      <c r="K29" s="17"/>
      <c r="L29" s="17"/>
      <c r="M29" s="17"/>
      <c r="N29" s="17"/>
      <c r="O29" s="17"/>
      <c r="P29" s="17"/>
      <c r="Q29" s="17"/>
      <c r="R29" s="17"/>
      <c r="S29" s="17"/>
      <c r="T29" s="17"/>
      <c r="U29" s="17"/>
      <c r="V29" s="17"/>
    </row>
    <row r="30" spans="1:22" x14ac:dyDescent="0.3">
      <c r="A30" s="17"/>
      <c r="B30" s="17"/>
      <c r="C30" s="17"/>
      <c r="D30" s="17"/>
      <c r="E30" s="17"/>
      <c r="F30" s="17"/>
      <c r="G30" s="17"/>
      <c r="H30" s="17"/>
      <c r="I30" s="17"/>
      <c r="J30" s="17"/>
      <c r="K30" s="17"/>
      <c r="L30" s="17"/>
      <c r="M30" s="17"/>
      <c r="N30" s="17"/>
      <c r="O30" s="17"/>
      <c r="P30" s="17"/>
      <c r="Q30" s="17"/>
      <c r="R30" s="17"/>
      <c r="S30" s="17"/>
      <c r="T30" s="17"/>
      <c r="U30" s="17"/>
      <c r="V30" s="17"/>
    </row>
  </sheetData>
  <sheetProtection algorithmName="SHA-512" hashValue="wjfBl9f1GAT/Pi8YzNAmIyCm58nMmqZZDkB1Hefltzk68+3m3m0nZgnC4TXcdXdZYEEWj0J8jenjZcc3s7K9Wg==" saltValue="jmNKeDDr0qNCJo2TmOdPjw==" spinCount="100000" sheet="1" objects="1" scenarios="1" selectLockedCells="1" selectUnlockedCells="1"/>
  <mergeCells count="2">
    <mergeCell ref="B3:V3"/>
    <mergeCell ref="B27:V27"/>
  </mergeCells>
  <pageMargins left="0.7" right="0.7" top="0.75" bottom="0.75" header="0.3" footer="0.3"/>
  <drawing r:id="rId1"/>
  <legacyDrawing r:id="rId2"/>
  <controls>
    <mc:AlternateContent xmlns:mc="http://schemas.openxmlformats.org/markup-compatibility/2006">
      <mc:Choice Requires="x14">
        <control shapeId="1030" r:id="rId3" name="ShowRibbon">
          <controlPr defaultSize="0" autoLine="0" r:id="rId4">
            <anchor moveWithCells="1">
              <from>
                <xdr:col>11</xdr:col>
                <xdr:colOff>144780</xdr:colOff>
                <xdr:row>27</xdr:row>
                <xdr:rowOff>60960</xdr:rowOff>
              </from>
              <to>
                <xdr:col>13</xdr:col>
                <xdr:colOff>91440</xdr:colOff>
                <xdr:row>29</xdr:row>
                <xdr:rowOff>152400</xdr:rowOff>
              </to>
            </anchor>
          </controlPr>
        </control>
      </mc:Choice>
      <mc:Fallback>
        <control shapeId="1030" r:id="rId3" name="ShowRibbon"/>
      </mc:Fallback>
    </mc:AlternateContent>
    <mc:AlternateContent xmlns:mc="http://schemas.openxmlformats.org/markup-compatibility/2006">
      <mc:Choice Requires="x14">
        <control shapeId="1029" r:id="rId5" name="ShowRowCol">
          <controlPr defaultSize="0" autoLine="0" r:id="rId6">
            <anchor moveWithCells="1">
              <from>
                <xdr:col>8</xdr:col>
                <xdr:colOff>464820</xdr:colOff>
                <xdr:row>27</xdr:row>
                <xdr:rowOff>45720</xdr:rowOff>
              </from>
              <to>
                <xdr:col>10</xdr:col>
                <xdr:colOff>411480</xdr:colOff>
                <xdr:row>29</xdr:row>
                <xdr:rowOff>137160</xdr:rowOff>
              </to>
            </anchor>
          </controlPr>
        </control>
      </mc:Choice>
      <mc:Fallback>
        <control shapeId="1029" r:id="rId5" name="ShowRowCol"/>
      </mc:Fallback>
    </mc:AlternateContent>
    <mc:AlternateContent xmlns:mc="http://schemas.openxmlformats.org/markup-compatibility/2006">
      <mc:Choice Requires="x14">
        <control shapeId="1028" r:id="rId7" name="ShowFormula">
          <controlPr defaultSize="0" autoLine="0" r:id="rId8">
            <anchor moveWithCells="1">
              <from>
                <xdr:col>6</xdr:col>
                <xdr:colOff>182880</xdr:colOff>
                <xdr:row>27</xdr:row>
                <xdr:rowOff>45720</xdr:rowOff>
              </from>
              <to>
                <xdr:col>8</xdr:col>
                <xdr:colOff>129540</xdr:colOff>
                <xdr:row>29</xdr:row>
                <xdr:rowOff>137160</xdr:rowOff>
              </to>
            </anchor>
          </controlPr>
        </control>
      </mc:Choice>
      <mc:Fallback>
        <control shapeId="1028" r:id="rId7" name="ShowFormula"/>
      </mc:Fallback>
    </mc:AlternateContent>
    <mc:AlternateContent xmlns:mc="http://schemas.openxmlformats.org/markup-compatibility/2006">
      <mc:Choice Requires="x14">
        <control shapeId="1026" r:id="rId9" name="BottomTabs">
          <controlPr defaultSize="0" autoLine="0" r:id="rId10">
            <anchor moveWithCells="1">
              <from>
                <xdr:col>4</xdr:col>
                <xdr:colOff>403860</xdr:colOff>
                <xdr:row>27</xdr:row>
                <xdr:rowOff>38100</xdr:rowOff>
              </from>
              <to>
                <xdr:col>5</xdr:col>
                <xdr:colOff>960120</xdr:colOff>
                <xdr:row>29</xdr:row>
                <xdr:rowOff>129540</xdr:rowOff>
              </to>
            </anchor>
          </controlPr>
        </control>
      </mc:Choice>
      <mc:Fallback>
        <control shapeId="1026" r:id="rId9" name="BottomTab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E73EA-08D9-4EA7-8551-41F31C5503CB}">
  <sheetPr codeName="Sheet5"/>
  <dimension ref="A1:T42"/>
  <sheetViews>
    <sheetView showGridLines="0" showRowColHeaders="0" zoomScale="85" zoomScaleNormal="85" workbookViewId="0">
      <pane ySplit="3" topLeftCell="A25" activePane="bottomLeft" state="frozen"/>
      <selection pane="bottomLeft" activeCell="A10" sqref="A10"/>
    </sheetView>
  </sheetViews>
  <sheetFormatPr defaultRowHeight="14.4" x14ac:dyDescent="0.3"/>
  <cols>
    <col min="1" max="2" width="7.21875" customWidth="1"/>
    <col min="4" max="4" width="11.77734375" customWidth="1"/>
    <col min="6" max="6" width="10.5546875" bestFit="1" customWidth="1"/>
    <col min="7" max="7" width="22.77734375" customWidth="1"/>
    <col min="8" max="8" width="13.88671875" customWidth="1"/>
    <col min="9" max="9" width="22" customWidth="1"/>
    <col min="10" max="10" width="13.5546875" customWidth="1"/>
    <col min="11" max="11" width="8" customWidth="1"/>
    <col min="12" max="12" width="9.5546875" customWidth="1"/>
    <col min="20" max="20" width="13.6640625" customWidth="1"/>
  </cols>
  <sheetData>
    <row r="1" spans="1:20" s="129" customFormat="1" ht="42" customHeight="1" thickBot="1" x14ac:dyDescent="0.35"/>
    <row r="2" spans="1:20" ht="15" hidden="1" thickTop="1" x14ac:dyDescent="0.3"/>
    <row r="3" spans="1:20" hidden="1" x14ac:dyDescent="0.3"/>
    <row r="4" spans="1:20" s="88" customFormat="1" ht="15" thickTop="1" x14ac:dyDescent="0.3">
      <c r="J4" s="151"/>
      <c r="K4" s="151"/>
      <c r="M4" s="151"/>
      <c r="N4" s="151"/>
      <c r="P4" s="151"/>
      <c r="Q4" s="151"/>
      <c r="S4" s="151"/>
      <c r="T4" s="151"/>
    </row>
    <row r="5" spans="1:20" s="88" customFormat="1" ht="45.6" customHeight="1" x14ac:dyDescent="0.3">
      <c r="A5" s="150" t="e" vm="1">
        <v>#VALUE!</v>
      </c>
      <c r="B5" s="150"/>
      <c r="C5" s="89" t="s">
        <v>178</v>
      </c>
      <c r="J5" s="152"/>
      <c r="K5" s="152"/>
      <c r="M5" s="152"/>
      <c r="N5" s="152"/>
      <c r="P5" s="152"/>
      <c r="Q5" s="152"/>
      <c r="S5" s="152"/>
      <c r="T5" s="152"/>
    </row>
    <row r="6" spans="1:20" s="88" customFormat="1" x14ac:dyDescent="0.3"/>
    <row r="8" spans="1:20" ht="55.8" customHeight="1" x14ac:dyDescent="0.3">
      <c r="D8" s="149" t="str">
        <f>IF(OR(I14=0,ISBLANK(I12)),"It seems that you have not entered any values, please go to the tax report calculator page to complete your assessment","")</f>
        <v/>
      </c>
      <c r="E8" s="149"/>
      <c r="F8" s="149"/>
      <c r="G8" s="149"/>
      <c r="H8" s="149"/>
      <c r="I8" s="149"/>
      <c r="J8" s="149"/>
      <c r="K8" s="149"/>
      <c r="L8" s="149"/>
    </row>
    <row r="10" spans="1:20" ht="41.4" customHeight="1" thickBot="1" x14ac:dyDescent="0.35">
      <c r="D10" s="153" t="s">
        <v>188</v>
      </c>
      <c r="E10" s="154"/>
      <c r="F10" s="154"/>
      <c r="G10" s="154"/>
      <c r="H10" s="154"/>
      <c r="I10" s="154"/>
      <c r="J10" s="154"/>
      <c r="K10" s="154"/>
      <c r="L10" s="155"/>
    </row>
    <row r="11" spans="1:20" ht="18.600000000000001" thickTop="1" x14ac:dyDescent="0.3">
      <c r="D11" s="98"/>
      <c r="E11" s="42"/>
      <c r="G11" s="42"/>
      <c r="H11" s="42"/>
      <c r="I11" s="42"/>
      <c r="J11" s="42"/>
      <c r="K11" s="42"/>
      <c r="L11" s="99"/>
    </row>
    <row r="12" spans="1:20" ht="18" x14ac:dyDescent="0.3">
      <c r="D12" s="98"/>
      <c r="E12" s="42"/>
      <c r="G12" s="42" t="s">
        <v>98</v>
      </c>
      <c r="H12" s="42"/>
      <c r="I12" s="100" t="str">
        <f>'Tax Report Calculator'!E10</f>
        <v>NA</v>
      </c>
      <c r="J12" s="42"/>
      <c r="K12" s="42"/>
      <c r="L12" s="99"/>
    </row>
    <row r="13" spans="1:20" ht="18" x14ac:dyDescent="0.3">
      <c r="D13" s="98"/>
      <c r="E13" s="42"/>
      <c r="G13" s="42"/>
      <c r="H13" s="42"/>
      <c r="I13" s="42"/>
      <c r="J13" s="42"/>
      <c r="K13" s="42"/>
      <c r="L13" s="99"/>
    </row>
    <row r="14" spans="1:20" ht="18" x14ac:dyDescent="0.3">
      <c r="D14" s="98"/>
      <c r="E14" s="42"/>
      <c r="G14" s="42" t="s">
        <v>176</v>
      </c>
      <c r="H14" s="42"/>
      <c r="I14" s="101">
        <f>'Tax Report Calculator'!J25</f>
        <v>200000</v>
      </c>
      <c r="J14" s="42"/>
      <c r="K14" s="42"/>
      <c r="L14" s="99"/>
    </row>
    <row r="15" spans="1:20" ht="18" x14ac:dyDescent="0.3">
      <c r="D15" s="98"/>
      <c r="E15" s="42"/>
      <c r="G15" s="42"/>
      <c r="H15" s="42"/>
      <c r="I15" s="102"/>
      <c r="J15" s="42"/>
      <c r="K15" s="42"/>
      <c r="L15" s="99"/>
    </row>
    <row r="16" spans="1:20" ht="18" x14ac:dyDescent="0.3">
      <c r="D16" s="98"/>
      <c r="E16" s="42"/>
      <c r="G16" s="42" t="s">
        <v>61</v>
      </c>
      <c r="H16" s="42"/>
      <c r="I16" s="101">
        <f>'Tax Report Calculator'!J27</f>
        <v>166850</v>
      </c>
      <c r="J16" s="42"/>
      <c r="K16" s="42"/>
      <c r="L16" s="99"/>
    </row>
    <row r="17" spans="3:12" ht="18" x14ac:dyDescent="0.3">
      <c r="D17" s="98"/>
      <c r="E17" s="42"/>
      <c r="G17" s="42"/>
      <c r="H17" s="42"/>
      <c r="I17" s="102"/>
      <c r="J17" s="42"/>
      <c r="K17" s="42"/>
      <c r="L17" s="99"/>
    </row>
    <row r="18" spans="3:12" ht="18" x14ac:dyDescent="0.3">
      <c r="D18" s="98"/>
      <c r="E18" s="42"/>
      <c r="G18" s="42" t="s">
        <v>189</v>
      </c>
      <c r="H18" s="42"/>
      <c r="I18" s="102">
        <f>'Tax Report Calculator'!J28</f>
        <v>26112.5</v>
      </c>
      <c r="J18" s="42"/>
      <c r="K18" s="42"/>
      <c r="L18" s="99"/>
    </row>
    <row r="19" spans="3:12" ht="18" x14ac:dyDescent="0.3">
      <c r="D19" s="98"/>
      <c r="E19" s="42"/>
      <c r="F19" s="42"/>
      <c r="G19" s="42"/>
      <c r="H19" s="42"/>
      <c r="I19" s="102"/>
      <c r="J19" s="42"/>
      <c r="K19" s="42"/>
      <c r="L19" s="99"/>
    </row>
    <row r="20" spans="3:12" ht="18" x14ac:dyDescent="0.3">
      <c r="D20" s="98"/>
      <c r="E20" s="42"/>
      <c r="F20" s="42"/>
      <c r="G20" s="42" t="s">
        <v>190</v>
      </c>
      <c r="H20" s="42"/>
      <c r="I20" s="102">
        <f>'Tax Report Calculator'!J33</f>
        <v>26112.5</v>
      </c>
      <c r="J20" s="42"/>
      <c r="K20" s="42"/>
      <c r="L20" s="99"/>
    </row>
    <row r="21" spans="3:12" ht="18" x14ac:dyDescent="0.3">
      <c r="D21" s="98"/>
      <c r="E21" s="42"/>
      <c r="F21" s="42"/>
      <c r="G21" s="42"/>
      <c r="H21" s="42"/>
      <c r="I21" s="102"/>
      <c r="J21" s="42"/>
      <c r="K21" s="42"/>
      <c r="L21" s="99"/>
    </row>
    <row r="22" spans="3:12" ht="18" x14ac:dyDescent="0.3">
      <c r="D22" s="98"/>
      <c r="E22" s="42"/>
      <c r="F22" s="42"/>
      <c r="G22" s="42" t="s">
        <v>191</v>
      </c>
      <c r="H22" s="42"/>
      <c r="I22" s="102">
        <f>'Tax Report Calculator'!J34</f>
        <v>6930</v>
      </c>
      <c r="J22" s="42"/>
      <c r="K22" s="42"/>
      <c r="L22" s="99"/>
    </row>
    <row r="23" spans="3:12" ht="18" x14ac:dyDescent="0.3">
      <c r="D23" s="98"/>
      <c r="E23" s="42"/>
      <c r="F23" s="42"/>
      <c r="G23" s="42"/>
      <c r="H23" s="42"/>
      <c r="I23" s="102"/>
      <c r="J23" s="42"/>
      <c r="K23" s="42"/>
      <c r="L23" s="99"/>
    </row>
    <row r="24" spans="3:12" ht="21" x14ac:dyDescent="0.3">
      <c r="D24" s="98"/>
      <c r="E24" s="42"/>
      <c r="F24" s="42"/>
      <c r="G24" s="42" t="str">
        <f>'Tax Report Calculator'!H35</f>
        <v>Balance of tax payable</v>
      </c>
      <c r="H24" s="42"/>
      <c r="I24" s="109">
        <f>'Tax Report Calculator'!J35</f>
        <v>19182.5</v>
      </c>
      <c r="J24" s="42"/>
      <c r="K24" s="42"/>
      <c r="L24" s="99"/>
    </row>
    <row r="25" spans="3:12" ht="18" x14ac:dyDescent="0.3">
      <c r="D25" s="98"/>
      <c r="E25" s="42"/>
      <c r="F25" s="42"/>
      <c r="G25" s="42"/>
      <c r="H25" s="42"/>
      <c r="I25" s="42"/>
      <c r="J25" s="42"/>
      <c r="K25" s="42"/>
      <c r="L25" s="99"/>
    </row>
    <row r="26" spans="3:12" ht="18" x14ac:dyDescent="0.3">
      <c r="C26" s="42"/>
      <c r="D26" s="98"/>
      <c r="E26" s="42"/>
      <c r="F26" s="42"/>
      <c r="G26" s="42" t="s">
        <v>192</v>
      </c>
      <c r="H26" s="42"/>
      <c r="I26" s="103">
        <f ca="1">TODAY()</f>
        <v>45323</v>
      </c>
      <c r="J26" s="104">
        <f ca="1">NOW()</f>
        <v>45323.003688310186</v>
      </c>
      <c r="K26" s="42"/>
      <c r="L26" s="99"/>
    </row>
    <row r="27" spans="3:12" ht="18" x14ac:dyDescent="0.3">
      <c r="C27" s="42"/>
      <c r="D27" s="105"/>
      <c r="E27" s="106"/>
      <c r="F27" s="106"/>
      <c r="G27" s="106"/>
      <c r="H27" s="106"/>
      <c r="I27" s="106"/>
      <c r="J27" s="106"/>
      <c r="K27" s="107"/>
      <c r="L27" s="108"/>
    </row>
    <row r="28" spans="3:12" ht="18" x14ac:dyDescent="0.3">
      <c r="C28" s="42"/>
      <c r="D28" s="42"/>
      <c r="E28" s="42"/>
      <c r="F28" s="42"/>
      <c r="G28" s="42"/>
      <c r="H28" s="42"/>
      <c r="I28" s="42"/>
      <c r="J28" s="42"/>
    </row>
    <row r="29" spans="3:12" ht="18" x14ac:dyDescent="0.3">
      <c r="C29" s="42"/>
      <c r="D29" s="42"/>
      <c r="E29" s="42"/>
      <c r="F29" s="42"/>
      <c r="G29" s="42"/>
      <c r="H29" s="42"/>
      <c r="I29" s="42"/>
      <c r="J29" s="42"/>
    </row>
    <row r="33" spans="4:12" ht="33" customHeight="1" thickBot="1" x14ac:dyDescent="0.35">
      <c r="D33" s="148" t="s">
        <v>199</v>
      </c>
      <c r="E33" s="148"/>
      <c r="F33" s="148"/>
      <c r="G33" s="148"/>
      <c r="H33" s="148"/>
      <c r="I33" s="148"/>
      <c r="J33" s="148"/>
      <c r="K33" s="148"/>
      <c r="L33" s="148"/>
    </row>
    <row r="34" spans="4:12" ht="49.2" customHeight="1" thickTop="1" thickBot="1" x14ac:dyDescent="0.5">
      <c r="D34" s="147" t="s">
        <v>196</v>
      </c>
      <c r="E34" s="147"/>
      <c r="F34" s="147"/>
      <c r="G34" s="147"/>
      <c r="I34" s="111" t="str" cm="1">
        <f t="array" ref="I34:I35">_xlfn.ANCHORARRAY('Tax Report Calculator'!O93)</f>
        <v>Medical (self/spouse/child)</v>
      </c>
    </row>
    <row r="35" spans="4:12" ht="24" thickBot="1" x14ac:dyDescent="0.5">
      <c r="G35" s="110" t="s">
        <v>197</v>
      </c>
      <c r="I35" s="112">
        <v>9700</v>
      </c>
    </row>
    <row r="36" spans="4:12" x14ac:dyDescent="0.3">
      <c r="I36" s="113"/>
    </row>
    <row r="37" spans="4:12" x14ac:dyDescent="0.3">
      <c r="I37" s="113"/>
    </row>
    <row r="38" spans="4:12" ht="24" thickBot="1" x14ac:dyDescent="0.5">
      <c r="G38" s="110" t="s">
        <v>202</v>
      </c>
      <c r="I38" s="112">
        <f>'Tax Report Calculator'!G86</f>
        <v>0</v>
      </c>
    </row>
    <row r="39" spans="4:12" ht="24" thickBot="1" x14ac:dyDescent="0.5">
      <c r="G39" s="110" t="s">
        <v>201</v>
      </c>
      <c r="I39" s="112">
        <f>'Tax Report Calculator'!G87</f>
        <v>0</v>
      </c>
    </row>
    <row r="40" spans="4:12" ht="24" thickBot="1" x14ac:dyDescent="0.5">
      <c r="G40" s="110" t="s">
        <v>198</v>
      </c>
      <c r="I40" s="112">
        <f>'Tax Report Calculator'!G92</f>
        <v>33150</v>
      </c>
    </row>
    <row r="41" spans="4:12" ht="24" thickBot="1" x14ac:dyDescent="0.5">
      <c r="G41" s="110" t="s">
        <v>200</v>
      </c>
      <c r="I41" s="112">
        <f>'Tax Report Calculator'!G94</f>
        <v>0</v>
      </c>
    </row>
    <row r="42" spans="4:12" ht="23.4" x14ac:dyDescent="0.45">
      <c r="G42" s="110"/>
    </row>
  </sheetData>
  <sheetProtection algorithmName="SHA-512" hashValue="KgnqidQiKpqP237uS0Ev5o0ipzW/6CJxoaAikzyH5h2KcxDdcn1ZOetiMQLC927Y+kPP71Qz4tTMiNV2YGnTjg==" saltValue="qFPkC3IZ3V1ih9QGzDbV3A==" spinCount="100000" sheet="1" objects="1" scenarios="1" selectLockedCells="1" selectUnlockedCells="1"/>
  <mergeCells count="13">
    <mergeCell ref="M4:N4"/>
    <mergeCell ref="P4:Q4"/>
    <mergeCell ref="D10:L10"/>
    <mergeCell ref="S4:T4"/>
    <mergeCell ref="M5:N5"/>
    <mergeCell ref="P5:Q5"/>
    <mergeCell ref="S5:T5"/>
    <mergeCell ref="D34:G34"/>
    <mergeCell ref="D33:L33"/>
    <mergeCell ref="D8:L8"/>
    <mergeCell ref="A5:B5"/>
    <mergeCell ref="J4:K4"/>
    <mergeCell ref="J5:K5"/>
  </mergeCells>
  <printOptions horizontalCentered="1" verticalCentered="1"/>
  <pageMargins left="0.70866141732283472" right="0.70866141732283472" top="0.74803149606299213" bottom="0.74803149606299213" header="0.31496062992125984" footer="0.31496062992125984"/>
  <pageSetup paperSize="9" orientation="landscape" r:id="rId1"/>
  <rowBreaks count="1" manualBreakCount="1">
    <brk id="3" max="16383" man="1"/>
  </rowBreaks>
  <colBreaks count="1" manualBreakCount="1">
    <brk id="3" max="1048575" man="1"/>
  </colBreaks>
  <drawing r:id="rId2"/>
  <extLst>
    <ext xmlns:x14="http://schemas.microsoft.com/office/spreadsheetml/2009/9/main" uri="{78C0D931-6437-407d-A8EE-F0AAD7539E65}">
      <x14:conditionalFormattings>
        <x14:conditionalFormatting xmlns:xm="http://schemas.microsoft.com/office/excel/2006/main">
          <x14:cfRule type="expression" priority="1" id="{0C74E4FA-2C57-43C9-B0E2-077A7A34714F}">
            <xm:f>'Tax Report Calculator'!$J$33&gt;'Tax Report Calculator'!$J$34</xm:f>
            <x14:dxf>
              <font>
                <color rgb="FFFF0000"/>
              </font>
            </x14:dxf>
          </x14:cfRule>
          <xm:sqref>I24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65AD2-3899-44FE-8A09-80FE49B7CFE5}">
  <sheetPr codeName="Sheet7"/>
  <dimension ref="B1:Y110"/>
  <sheetViews>
    <sheetView showGridLines="0" showRowColHeaders="0" zoomScaleNormal="100" workbookViewId="0">
      <pane ySplit="1" topLeftCell="A15" activePane="bottomLeft" state="frozen"/>
      <selection pane="bottomLeft" activeCell="J16" sqref="J16"/>
    </sheetView>
  </sheetViews>
  <sheetFormatPr defaultColWidth="9.88671875" defaultRowHeight="20.100000000000001" customHeight="1" x14ac:dyDescent="0.3"/>
  <cols>
    <col min="1" max="1" width="9.5546875" style="8" customWidth="1"/>
    <col min="2" max="2" width="12.109375" style="8" customWidth="1"/>
    <col min="3" max="3" width="40.5546875" style="8" bestFit="1" customWidth="1"/>
    <col min="4" max="4" width="3" style="8" customWidth="1"/>
    <col min="5" max="5" width="14.109375" style="8" customWidth="1"/>
    <col min="6" max="6" width="2.33203125" style="8" customWidth="1"/>
    <col min="7" max="7" width="18.88671875" style="8" customWidth="1"/>
    <col min="8" max="8" width="2.33203125" style="8" customWidth="1"/>
    <col min="9" max="9" width="12.21875" style="8" customWidth="1"/>
    <col min="10" max="10" width="20.21875" style="8" customWidth="1"/>
    <col min="11" max="11" width="19" style="8" customWidth="1"/>
    <col min="12" max="12" width="2.33203125" style="8" customWidth="1"/>
    <col min="13" max="13" width="13" style="8" customWidth="1"/>
    <col min="14" max="14" width="3.5546875" style="8" customWidth="1"/>
    <col min="15" max="15" width="20.44140625" style="8" customWidth="1"/>
    <col min="16" max="16" width="4.109375" style="8" customWidth="1"/>
    <col min="17" max="17" width="9" style="8" customWidth="1"/>
    <col min="18" max="18" width="14.109375" style="8" customWidth="1"/>
    <col min="19" max="19" width="18.44140625" style="8" customWidth="1"/>
    <col min="20" max="20" width="15.6640625" style="8" customWidth="1"/>
    <col min="21" max="21" width="15" style="8" customWidth="1"/>
    <col min="22" max="22" width="12.109375" style="8" customWidth="1"/>
    <col min="23" max="16384" width="9.88671875" style="8"/>
  </cols>
  <sheetData>
    <row r="1" spans="2:17" s="129" customFormat="1" ht="40.049999999999997" customHeight="1" thickBot="1" x14ac:dyDescent="0.35"/>
    <row r="2" spans="2:17" ht="35.4" customHeight="1" thickTop="1" x14ac:dyDescent="0.3">
      <c r="B2" s="166"/>
      <c r="C2" s="166"/>
    </row>
    <row r="3" spans="2:17" ht="27" hidden="1" customHeight="1" x14ac:dyDescent="0.3">
      <c r="B3" s="31"/>
      <c r="C3" s="31"/>
    </row>
    <row r="4" spans="2:17" ht="30" hidden="1" customHeight="1" x14ac:dyDescent="0.3">
      <c r="B4" s="31"/>
      <c r="C4" s="31"/>
    </row>
    <row r="5" spans="2:17" ht="30" hidden="1" customHeight="1" x14ac:dyDescent="0.3">
      <c r="B5" s="31"/>
      <c r="C5" s="31"/>
    </row>
    <row r="6" spans="2:17" ht="44.4" hidden="1" customHeight="1" x14ac:dyDescent="0.3">
      <c r="B6" s="31"/>
      <c r="C6" s="31"/>
    </row>
    <row r="7" spans="2:17" ht="103.2" customHeight="1" thickBot="1" x14ac:dyDescent="0.35">
      <c r="B7" s="167" t="s">
        <v>71</v>
      </c>
      <c r="C7" s="167"/>
      <c r="D7" s="167"/>
      <c r="E7" s="167"/>
      <c r="F7" s="167"/>
      <c r="G7" s="167"/>
      <c r="H7" s="167"/>
      <c r="I7" s="167"/>
      <c r="J7" s="167"/>
      <c r="K7" s="167"/>
      <c r="L7" s="167"/>
      <c r="M7" s="167"/>
      <c r="N7" s="167"/>
      <c r="O7" s="167"/>
    </row>
    <row r="8" spans="2:17" ht="97.8" customHeight="1" thickTop="1" x14ac:dyDescent="0.3">
      <c r="B8" s="173" t="s">
        <v>454</v>
      </c>
      <c r="C8" s="173"/>
      <c r="D8" s="173"/>
      <c r="E8" s="173"/>
      <c r="F8" s="173"/>
      <c r="G8" s="173"/>
      <c r="H8" s="173"/>
      <c r="I8" s="173"/>
      <c r="J8" s="173"/>
      <c r="K8" s="173"/>
      <c r="M8" s="172" t="e" vm="2">
        <f>_xlfn.IMAGE("https://chart.googleapis.com/chart?chs=200x200&amp;&amp;cht=qr&amp;chl=https://www.hasil.gov.my/en/individual/individual-life-cycle/how-to-declare-income/tax-reliefs/")</f>
        <v>#VALUE!</v>
      </c>
      <c r="N8" s="172"/>
      <c r="O8" s="172"/>
    </row>
    <row r="9" spans="2:17" ht="27" customHeight="1" x14ac:dyDescent="0.3"/>
    <row r="10" spans="2:17" ht="30.6" customHeight="1" thickBot="1" x14ac:dyDescent="0.35">
      <c r="C10" s="28" t="s">
        <v>98</v>
      </c>
      <c r="E10" s="168" t="s">
        <v>435</v>
      </c>
      <c r="F10" s="169"/>
      <c r="G10" s="170"/>
      <c r="K10" s="28" t="s">
        <v>99</v>
      </c>
      <c r="M10" s="171">
        <f ca="1">TODAY()</f>
        <v>45323</v>
      </c>
      <c r="N10" s="171"/>
      <c r="O10" s="171"/>
      <c r="Q10"/>
    </row>
    <row r="11" spans="2:17" ht="15.6" customHeight="1" x14ac:dyDescent="0.3"/>
    <row r="12" spans="2:17" ht="32.4" customHeight="1" thickBot="1" x14ac:dyDescent="0.35">
      <c r="B12" s="148" t="s">
        <v>115</v>
      </c>
      <c r="C12" s="148"/>
      <c r="D12" s="148"/>
      <c r="E12" s="148"/>
      <c r="F12" s="148"/>
      <c r="G12" s="148"/>
      <c r="H12" s="148"/>
      <c r="I12" s="148"/>
      <c r="J12" s="148"/>
      <c r="K12" s="148"/>
      <c r="L12" s="148"/>
      <c r="M12" s="148"/>
      <c r="N12" s="148"/>
      <c r="O12" s="148"/>
    </row>
    <row r="13" spans="2:17" ht="28.2" customHeight="1" thickTop="1" x14ac:dyDescent="0.3">
      <c r="B13" s="27"/>
      <c r="C13" s="27"/>
      <c r="D13" s="27"/>
      <c r="E13" s="27"/>
      <c r="F13" s="27"/>
      <c r="G13" s="27"/>
      <c r="H13" s="27"/>
      <c r="I13" s="27"/>
      <c r="J13" s="27"/>
      <c r="K13" s="27"/>
      <c r="L13" s="27"/>
      <c r="M13" s="64"/>
      <c r="N13" s="27"/>
      <c r="O13" s="27"/>
    </row>
    <row r="14" spans="2:17" ht="28.2" customHeight="1" x14ac:dyDescent="0.3">
      <c r="B14" s="66" t="s">
        <v>109</v>
      </c>
      <c r="C14" s="74"/>
      <c r="D14" s="74"/>
      <c r="E14" s="74"/>
      <c r="F14" s="9"/>
      <c r="G14" s="70"/>
      <c r="H14" s="73" t="s">
        <v>107</v>
      </c>
      <c r="I14" s="71"/>
      <c r="J14" s="115">
        <v>100000</v>
      </c>
      <c r="L14"/>
      <c r="M14"/>
      <c r="N14"/>
      <c r="O14" s="27"/>
    </row>
    <row r="15" spans="2:17" ht="28.2" customHeight="1" x14ac:dyDescent="0.3">
      <c r="B15" s="66" t="s">
        <v>110</v>
      </c>
      <c r="C15" s="73"/>
      <c r="D15" s="9"/>
      <c r="E15" s="9"/>
      <c r="F15" s="9"/>
      <c r="G15" s="70"/>
      <c r="H15" s="73" t="s">
        <v>105</v>
      </c>
      <c r="I15" s="71"/>
      <c r="J15" s="115">
        <v>100000</v>
      </c>
      <c r="L15"/>
      <c r="M15"/>
      <c r="N15"/>
      <c r="O15" s="27"/>
    </row>
    <row r="16" spans="2:17" ht="28.2" customHeight="1" x14ac:dyDescent="0.3">
      <c r="B16" s="75" t="s">
        <v>111</v>
      </c>
      <c r="C16" s="157" t="s">
        <v>106</v>
      </c>
      <c r="D16" s="157"/>
      <c r="E16" s="157"/>
      <c r="F16" s="157"/>
      <c r="G16" s="157"/>
      <c r="H16" s="157"/>
      <c r="I16" s="72"/>
      <c r="J16" s="115">
        <v>0</v>
      </c>
      <c r="L16"/>
      <c r="M16"/>
      <c r="N16"/>
      <c r="O16" s="27"/>
    </row>
    <row r="17" spans="2:15" ht="28.2" customHeight="1" x14ac:dyDescent="0.4">
      <c r="B17" s="67"/>
      <c r="C17" s="157"/>
      <c r="D17" s="157"/>
      <c r="E17" s="157"/>
      <c r="F17" s="157"/>
      <c r="G17" s="157"/>
      <c r="H17" s="157"/>
      <c r="I17" s="72"/>
      <c r="J17" s="78"/>
      <c r="L17"/>
      <c r="M17"/>
      <c r="N17"/>
      <c r="O17" s="27"/>
    </row>
    <row r="18" spans="2:15" ht="28.2" customHeight="1" x14ac:dyDescent="0.3">
      <c r="B18" s="75" t="s">
        <v>112</v>
      </c>
      <c r="C18" s="157" t="s">
        <v>108</v>
      </c>
      <c r="D18" s="157"/>
      <c r="E18" s="157"/>
      <c r="F18" s="157"/>
      <c r="G18" s="157"/>
      <c r="H18" s="157"/>
      <c r="I18" s="72"/>
      <c r="J18" s="115">
        <v>0</v>
      </c>
      <c r="L18"/>
      <c r="M18"/>
      <c r="N18"/>
      <c r="O18" s="27"/>
    </row>
    <row r="19" spans="2:15" ht="28.2" customHeight="1" x14ac:dyDescent="0.4">
      <c r="B19" s="67"/>
      <c r="C19" s="157"/>
      <c r="D19" s="157"/>
      <c r="E19" s="157"/>
      <c r="F19" s="157"/>
      <c r="G19" s="157"/>
      <c r="H19" s="157"/>
      <c r="I19" s="72"/>
      <c r="J19" s="78"/>
      <c r="L19"/>
      <c r="M19"/>
      <c r="N19"/>
      <c r="O19" s="27"/>
    </row>
    <row r="20" spans="2:15" ht="28.2" customHeight="1" thickBot="1" x14ac:dyDescent="0.35">
      <c r="B20" s="66" t="s">
        <v>113</v>
      </c>
      <c r="C20" s="73"/>
      <c r="D20" s="9"/>
      <c r="E20" s="9"/>
      <c r="F20" s="9"/>
      <c r="G20" s="70"/>
      <c r="H20" s="73" t="s">
        <v>114</v>
      </c>
      <c r="I20" s="71"/>
      <c r="J20" s="76">
        <f>SUM(J14:J18)</f>
        <v>200000</v>
      </c>
      <c r="L20"/>
      <c r="M20"/>
      <c r="N20"/>
      <c r="O20" s="27"/>
    </row>
    <row r="21" spans="2:15" ht="33" customHeight="1" x14ac:dyDescent="0.3">
      <c r="B21" s="66" t="s">
        <v>116</v>
      </c>
      <c r="C21" s="157" t="s">
        <v>173</v>
      </c>
      <c r="D21" s="157"/>
      <c r="E21" s="157"/>
      <c r="F21" s="157"/>
      <c r="G21" s="157"/>
      <c r="H21" s="157"/>
      <c r="I21" s="66"/>
      <c r="J21" s="115">
        <v>0</v>
      </c>
      <c r="L21"/>
      <c r="M21"/>
      <c r="N21"/>
      <c r="O21" s="27"/>
    </row>
    <row r="22" spans="2:15" ht="28.2" customHeight="1" x14ac:dyDescent="0.4">
      <c r="B22" s="66"/>
      <c r="C22" s="114"/>
      <c r="D22" s="114"/>
      <c r="E22" s="114"/>
      <c r="F22" s="114"/>
      <c r="G22" s="114"/>
      <c r="H22" s="114"/>
      <c r="I22" s="66"/>
      <c r="J22" s="78"/>
      <c r="L22"/>
      <c r="M22"/>
      <c r="N22"/>
      <c r="O22" s="27"/>
    </row>
    <row r="23" spans="2:15" ht="28.2" customHeight="1" thickBot="1" x14ac:dyDescent="0.35">
      <c r="B23" s="66" t="s">
        <v>117</v>
      </c>
      <c r="C23" s="83"/>
      <c r="D23" s="84"/>
      <c r="E23" s="84"/>
      <c r="F23" s="84"/>
      <c r="G23" s="85"/>
      <c r="H23" s="83" t="s">
        <v>172</v>
      </c>
      <c r="I23" s="66"/>
      <c r="J23" s="76">
        <f>O56</f>
        <v>0</v>
      </c>
      <c r="L23"/>
      <c r="M23"/>
      <c r="N23"/>
      <c r="O23" s="27"/>
    </row>
    <row r="24" spans="2:15" ht="28.2" customHeight="1" x14ac:dyDescent="0.3">
      <c r="B24" s="71" t="s">
        <v>118</v>
      </c>
      <c r="C24" s="73"/>
      <c r="D24" s="73"/>
      <c r="E24" s="73"/>
      <c r="F24" s="73"/>
      <c r="G24" s="73"/>
      <c r="H24" s="73" t="s">
        <v>119</v>
      </c>
      <c r="I24" s="66"/>
      <c r="J24" s="115">
        <v>0</v>
      </c>
      <c r="L24"/>
      <c r="M24"/>
      <c r="N24"/>
      <c r="O24" s="27"/>
    </row>
    <row r="25" spans="2:15" ht="28.2" customHeight="1" thickBot="1" x14ac:dyDescent="0.35">
      <c r="B25" s="71" t="s">
        <v>121</v>
      </c>
      <c r="C25" s="73"/>
      <c r="D25" s="73"/>
      <c r="E25" s="73"/>
      <c r="F25" s="73"/>
      <c r="G25" s="73"/>
      <c r="H25" s="73" t="s">
        <v>120</v>
      </c>
      <c r="I25" s="66"/>
      <c r="J25" s="76">
        <f>MAX(J24+J20-J21-J23,0)</f>
        <v>200000</v>
      </c>
      <c r="L25"/>
      <c r="M25"/>
      <c r="N25"/>
      <c r="O25" s="27"/>
    </row>
    <row r="26" spans="2:15" ht="28.2" customHeight="1" thickBot="1" x14ac:dyDescent="0.35">
      <c r="B26" s="71" t="s">
        <v>122</v>
      </c>
      <c r="C26" s="73"/>
      <c r="D26" s="73"/>
      <c r="E26" s="73"/>
      <c r="F26" s="73"/>
      <c r="G26" s="73"/>
      <c r="H26" s="83" t="s">
        <v>123</v>
      </c>
      <c r="I26" s="66"/>
      <c r="J26" s="76">
        <f>G92</f>
        <v>33150</v>
      </c>
      <c r="L26"/>
      <c r="M26"/>
      <c r="N26"/>
      <c r="O26" s="27"/>
    </row>
    <row r="27" spans="2:15" ht="28.2" customHeight="1" thickBot="1" x14ac:dyDescent="0.35">
      <c r="B27" s="71" t="s">
        <v>124</v>
      </c>
      <c r="C27" s="73"/>
      <c r="D27" s="73"/>
      <c r="E27" s="73"/>
      <c r="F27" s="73"/>
      <c r="G27" s="73"/>
      <c r="H27" s="73" t="s">
        <v>61</v>
      </c>
      <c r="I27" s="27"/>
      <c r="J27" s="76">
        <f>MAX(J25-J26,0)</f>
        <v>166850</v>
      </c>
      <c r="K27" s="27"/>
      <c r="L27"/>
      <c r="M27"/>
      <c r="N27"/>
      <c r="O27" s="27"/>
    </row>
    <row r="28" spans="2:15" ht="28.2" customHeight="1" thickBot="1" x14ac:dyDescent="0.35">
      <c r="B28" s="71" t="s">
        <v>125</v>
      </c>
      <c r="C28" s="73"/>
      <c r="D28" s="73"/>
      <c r="E28" s="73"/>
      <c r="F28" s="73"/>
      <c r="G28" s="73"/>
      <c r="H28" s="73" t="s">
        <v>126</v>
      </c>
      <c r="I28" s="27"/>
      <c r="J28" s="79">
        <f>Tax_Payable_Table[[#Totals],[Taxes]]</f>
        <v>26112.5</v>
      </c>
      <c r="K28" s="27"/>
      <c r="L28"/>
      <c r="M28"/>
      <c r="N28"/>
      <c r="O28" s="27"/>
    </row>
    <row r="29" spans="2:15" ht="28.2" customHeight="1" thickBot="1" x14ac:dyDescent="0.35">
      <c r="B29" s="71" t="s">
        <v>127</v>
      </c>
      <c r="C29" s="73"/>
      <c r="D29" s="73"/>
      <c r="E29" s="73"/>
      <c r="F29" s="73"/>
      <c r="G29" s="73"/>
      <c r="H29" s="83" t="s">
        <v>128</v>
      </c>
      <c r="I29" s="27"/>
      <c r="J29" s="76">
        <f>SUM(G41,O41:O42)</f>
        <v>0</v>
      </c>
      <c r="K29" s="27"/>
      <c r="L29"/>
      <c r="M29"/>
      <c r="N29"/>
      <c r="O29" s="27"/>
    </row>
    <row r="30" spans="2:15" ht="28.2" customHeight="1" thickBot="1" x14ac:dyDescent="0.35">
      <c r="B30" s="71" t="s">
        <v>157</v>
      </c>
      <c r="C30" s="73"/>
      <c r="D30" s="73"/>
      <c r="E30" s="73"/>
      <c r="F30" s="73"/>
      <c r="G30" s="73"/>
      <c r="H30" s="73" t="s">
        <v>158</v>
      </c>
      <c r="I30" s="27"/>
      <c r="J30" s="79">
        <f>MAX(J28-J29,0)</f>
        <v>26112.5</v>
      </c>
      <c r="K30" s="27"/>
      <c r="L30"/>
      <c r="M30"/>
      <c r="N30"/>
      <c r="O30" s="27"/>
    </row>
    <row r="31" spans="2:15" ht="28.2" customHeight="1" x14ac:dyDescent="0.3">
      <c r="B31" s="71" t="s">
        <v>159</v>
      </c>
      <c r="C31" s="73"/>
      <c r="D31" s="73"/>
      <c r="E31" s="73"/>
      <c r="F31" s="73"/>
      <c r="G31" s="73"/>
      <c r="H31" s="73" t="s">
        <v>160</v>
      </c>
      <c r="I31" s="27"/>
      <c r="J31" s="115">
        <v>0</v>
      </c>
      <c r="K31" s="27"/>
      <c r="L31"/>
      <c r="M31"/>
      <c r="N31"/>
      <c r="O31" s="27"/>
    </row>
    <row r="32" spans="2:15" ht="28.2" customHeight="1" x14ac:dyDescent="0.3">
      <c r="B32" s="71" t="s">
        <v>161</v>
      </c>
      <c r="C32" s="73"/>
      <c r="D32" s="73"/>
      <c r="E32" s="73"/>
      <c r="F32" s="73"/>
      <c r="G32" s="73"/>
      <c r="H32" s="73" t="s">
        <v>162</v>
      </c>
      <c r="I32" s="27"/>
      <c r="J32" s="115">
        <v>0</v>
      </c>
      <c r="K32" s="27"/>
      <c r="L32"/>
      <c r="M32"/>
      <c r="N32"/>
      <c r="O32" s="27"/>
    </row>
    <row r="33" spans="2:15" ht="28.2" customHeight="1" thickBot="1" x14ac:dyDescent="0.35">
      <c r="B33" s="71" t="s">
        <v>163</v>
      </c>
      <c r="C33" s="73"/>
      <c r="D33" s="73"/>
      <c r="E33" s="73"/>
      <c r="F33" s="73"/>
      <c r="G33" s="73"/>
      <c r="H33" s="73" t="s">
        <v>164</v>
      </c>
      <c r="I33" s="27"/>
      <c r="J33" s="79">
        <f>J30-J31-MIN(J32,J30)</f>
        <v>26112.5</v>
      </c>
      <c r="K33" s="27"/>
      <c r="L33"/>
      <c r="M33"/>
      <c r="N33"/>
      <c r="O33" s="27"/>
    </row>
    <row r="34" spans="2:15" ht="28.2" customHeight="1" x14ac:dyDescent="0.3">
      <c r="B34" s="71" t="s">
        <v>179</v>
      </c>
      <c r="C34" s="73"/>
      <c r="D34" s="73"/>
      <c r="E34" s="73"/>
      <c r="F34" s="73"/>
      <c r="G34" s="73"/>
      <c r="H34" s="73" t="s">
        <v>180</v>
      </c>
      <c r="I34" s="27"/>
      <c r="J34" s="93">
        <f>Monthly_Tax_Total[[#Totals],[Taxes]]</f>
        <v>6930</v>
      </c>
      <c r="K34" s="27"/>
      <c r="L34"/>
      <c r="M34"/>
      <c r="N34"/>
      <c r="O34" s="27"/>
    </row>
    <row r="35" spans="2:15" ht="28.2" customHeight="1" x14ac:dyDescent="0.3">
      <c r="B35" s="71" t="s">
        <v>181</v>
      </c>
      <c r="C35" s="73"/>
      <c r="D35" s="73"/>
      <c r="E35" s="73"/>
      <c r="F35" s="73"/>
      <c r="G35" s="73"/>
      <c r="H35" s="83" t="str">
        <f>IF(J33-J34&gt;0,"Balance of tax payable", "Tax paid in excess")</f>
        <v>Balance of tax payable</v>
      </c>
      <c r="I35" s="27"/>
      <c r="J35" s="94">
        <f>ABS(J33-J34)</f>
        <v>19182.5</v>
      </c>
      <c r="K35" s="27"/>
      <c r="L35"/>
      <c r="M35"/>
      <c r="N35"/>
      <c r="O35" s="27"/>
    </row>
    <row r="36" spans="2:15" ht="28.2" customHeight="1" x14ac:dyDescent="0.3">
      <c r="B36" s="71"/>
      <c r="C36" s="73"/>
      <c r="D36" s="73"/>
      <c r="E36" s="73"/>
      <c r="F36" s="73"/>
      <c r="G36" s="73"/>
      <c r="H36" s="73"/>
      <c r="I36" s="27"/>
      <c r="J36"/>
      <c r="K36" s="27"/>
      <c r="L36"/>
      <c r="M36"/>
      <c r="N36"/>
      <c r="O36" s="27"/>
    </row>
    <row r="37" spans="2:15" ht="28.2" customHeight="1" x14ac:dyDescent="0.3">
      <c r="B37" s="71"/>
      <c r="C37" s="73"/>
      <c r="D37" s="73"/>
      <c r="E37" s="73"/>
      <c r="F37" s="73"/>
      <c r="G37" s="73"/>
      <c r="H37" s="73"/>
      <c r="I37" s="27"/>
      <c r="J37"/>
      <c r="K37" s="27"/>
      <c r="L37"/>
      <c r="M37"/>
      <c r="N37"/>
      <c r="O37" s="27"/>
    </row>
    <row r="38" spans="2:15" ht="28.2" customHeight="1" x14ac:dyDescent="0.3">
      <c r="B38" s="71"/>
      <c r="C38" s="73"/>
      <c r="D38" s="73"/>
      <c r="E38" s="73"/>
      <c r="F38" s="73"/>
      <c r="G38" s="73"/>
      <c r="H38" s="73"/>
      <c r="I38" s="27"/>
      <c r="J38" s="12"/>
      <c r="K38" s="27"/>
      <c r="L38"/>
      <c r="M38"/>
      <c r="N38"/>
      <c r="O38" s="27"/>
    </row>
    <row r="39" spans="2:15" ht="28.2" customHeight="1" thickBot="1" x14ac:dyDescent="0.35">
      <c r="B39" s="148" t="s">
        <v>130</v>
      </c>
      <c r="C39" s="148"/>
      <c r="D39" s="148"/>
      <c r="E39" s="148"/>
      <c r="F39" s="148"/>
      <c r="G39" s="148"/>
      <c r="H39" s="148"/>
      <c r="I39" s="148"/>
      <c r="J39" s="148"/>
      <c r="K39" s="148"/>
      <c r="L39" s="148"/>
      <c r="M39" s="148"/>
      <c r="N39" s="148"/>
      <c r="O39" s="148"/>
    </row>
    <row r="40" spans="2:15" ht="28.2" customHeight="1" thickTop="1" x14ac:dyDescent="0.3">
      <c r="B40" s="71"/>
      <c r="C40" s="73"/>
      <c r="D40" s="73"/>
      <c r="E40" s="73"/>
      <c r="F40" s="73"/>
      <c r="G40" s="73" t="s">
        <v>134</v>
      </c>
      <c r="H40" s="73"/>
      <c r="I40" s="27"/>
      <c r="J40" s="12"/>
      <c r="K40" s="27"/>
      <c r="L40"/>
      <c r="M40"/>
      <c r="N40"/>
      <c r="O40" s="73" t="s">
        <v>134</v>
      </c>
    </row>
    <row r="41" spans="2:15" ht="28.2" customHeight="1" x14ac:dyDescent="0.3">
      <c r="B41" s="71"/>
      <c r="D41" s="73"/>
      <c r="E41" s="73" t="s">
        <v>131</v>
      </c>
      <c r="F41" s="73"/>
      <c r="G41" s="116">
        <v>0</v>
      </c>
      <c r="H41" s="73"/>
      <c r="I41" s="27"/>
      <c r="J41" s="12"/>
      <c r="K41" s="27"/>
      <c r="L41"/>
      <c r="M41" s="73" t="s">
        <v>132</v>
      </c>
      <c r="N41" s="4"/>
      <c r="O41" s="116">
        <v>0</v>
      </c>
    </row>
    <row r="42" spans="2:15" ht="21.6" customHeight="1" x14ac:dyDescent="0.3">
      <c r="B42" s="71"/>
      <c r="C42" s="73"/>
      <c r="D42" s="73"/>
      <c r="E42" s="73"/>
      <c r="F42" s="73"/>
      <c r="G42"/>
      <c r="H42" s="73"/>
      <c r="I42" s="157" t="s">
        <v>133</v>
      </c>
      <c r="J42" s="157"/>
      <c r="K42" s="157"/>
      <c r="L42" s="157"/>
      <c r="M42" s="157"/>
      <c r="N42" s="4"/>
      <c r="O42" s="116">
        <v>0</v>
      </c>
    </row>
    <row r="43" spans="2:15" ht="28.2" customHeight="1" x14ac:dyDescent="0.3">
      <c r="B43" s="71"/>
      <c r="C43" s="73"/>
      <c r="D43" s="73"/>
      <c r="E43" s="73"/>
      <c r="F43" s="73"/>
      <c r="G43" s="73"/>
      <c r="H43" s="73"/>
      <c r="I43" s="157"/>
      <c r="J43" s="157"/>
      <c r="K43" s="157"/>
      <c r="L43" s="157"/>
      <c r="M43" s="157"/>
      <c r="N43"/>
      <c r="O43" s="27"/>
    </row>
    <row r="44" spans="2:15" ht="28.2" customHeight="1" x14ac:dyDescent="0.3">
      <c r="B44" s="71"/>
      <c r="C44" s="73"/>
      <c r="D44" s="73"/>
      <c r="E44" s="73"/>
      <c r="F44" s="73"/>
      <c r="G44" s="73"/>
      <c r="H44" s="73"/>
      <c r="I44" s="27"/>
      <c r="J44" s="12"/>
      <c r="K44" s="27"/>
      <c r="L44"/>
      <c r="M44"/>
      <c r="N44"/>
      <c r="O44" s="27"/>
    </row>
    <row r="45" spans="2:15" ht="28.2" customHeight="1" thickBot="1" x14ac:dyDescent="0.35">
      <c r="B45" s="148" t="s">
        <v>135</v>
      </c>
      <c r="C45" s="148"/>
      <c r="D45" s="148"/>
      <c r="E45" s="148"/>
      <c r="F45" s="148"/>
      <c r="G45" s="148"/>
      <c r="H45" s="148"/>
      <c r="I45" s="148"/>
      <c r="J45" s="148"/>
      <c r="K45" s="148"/>
      <c r="L45" s="148"/>
      <c r="M45" s="148"/>
      <c r="N45" s="148"/>
      <c r="O45" s="148"/>
    </row>
    <row r="46" spans="2:15" ht="28.2" customHeight="1" thickTop="1" x14ac:dyDescent="0.3">
      <c r="B46" s="27"/>
      <c r="C46" s="27"/>
      <c r="D46" s="27"/>
      <c r="E46" s="27"/>
      <c r="F46" s="27"/>
      <c r="G46" s="27"/>
      <c r="H46" s="27"/>
      <c r="I46" s="27"/>
      <c r="J46" s="27"/>
      <c r="K46" s="27"/>
      <c r="L46" s="27"/>
      <c r="M46" s="27"/>
      <c r="N46" s="27"/>
      <c r="O46" s="27"/>
    </row>
    <row r="47" spans="2:15" ht="28.2" customHeight="1" x14ac:dyDescent="0.3">
      <c r="B47" s="66" t="s">
        <v>136</v>
      </c>
      <c r="C47" s="73"/>
      <c r="D47" s="73"/>
      <c r="E47" s="73"/>
      <c r="F47" s="73"/>
      <c r="G47" s="73"/>
      <c r="H47" s="73"/>
      <c r="J47" s="42" t="s">
        <v>146</v>
      </c>
      <c r="L47"/>
      <c r="M47"/>
      <c r="N47"/>
      <c r="O47" s="115">
        <v>0</v>
      </c>
    </row>
    <row r="48" spans="2:15" ht="28.2" customHeight="1" x14ac:dyDescent="0.3">
      <c r="B48" s="66" t="s">
        <v>137</v>
      </c>
      <c r="C48" s="73"/>
      <c r="D48" s="73"/>
      <c r="E48" s="73"/>
      <c r="F48" s="73"/>
      <c r="G48" s="73"/>
      <c r="H48" s="73"/>
      <c r="J48" s="42" t="s">
        <v>147</v>
      </c>
      <c r="K48" s="161" t="s">
        <v>156</v>
      </c>
      <c r="L48"/>
      <c r="M48" s="115">
        <v>0</v>
      </c>
      <c r="N48"/>
      <c r="O48" s="162">
        <f>MIN(SUM(M48:M50),0.1*J20)</f>
        <v>0</v>
      </c>
    </row>
    <row r="49" spans="2:15" ht="28.2" customHeight="1" x14ac:dyDescent="0.3">
      <c r="B49" s="66" t="s">
        <v>138</v>
      </c>
      <c r="C49" s="73"/>
      <c r="D49" s="73"/>
      <c r="E49" s="73"/>
      <c r="F49" s="73"/>
      <c r="G49" s="73"/>
      <c r="H49" s="73"/>
      <c r="J49" s="42" t="s">
        <v>148</v>
      </c>
      <c r="K49" s="161"/>
      <c r="L49"/>
      <c r="M49" s="115">
        <v>0</v>
      </c>
      <c r="N49"/>
      <c r="O49" s="163"/>
    </row>
    <row r="50" spans="2:15" ht="37.200000000000003" customHeight="1" thickBot="1" x14ac:dyDescent="0.35">
      <c r="B50" s="66" t="s">
        <v>139</v>
      </c>
      <c r="C50" s="160" t="s">
        <v>149</v>
      </c>
      <c r="D50" s="160"/>
      <c r="E50" s="160"/>
      <c r="F50" s="160"/>
      <c r="G50" s="160"/>
      <c r="H50" s="160"/>
      <c r="I50" s="160"/>
      <c r="J50" s="160"/>
      <c r="K50" s="161"/>
      <c r="L50"/>
      <c r="M50" s="115">
        <v>0</v>
      </c>
      <c r="N50"/>
      <c r="O50" s="164"/>
    </row>
    <row r="51" spans="2:15" ht="28.2" customHeight="1" x14ac:dyDescent="0.3">
      <c r="B51" s="66" t="s">
        <v>140</v>
      </c>
      <c r="C51" s="73"/>
      <c r="D51" s="73"/>
      <c r="E51" s="73"/>
      <c r="F51" s="73"/>
      <c r="G51" s="73"/>
      <c r="H51" s="73"/>
      <c r="J51" s="42" t="s">
        <v>150</v>
      </c>
      <c r="L51"/>
      <c r="M51"/>
      <c r="N51"/>
      <c r="O51" s="115">
        <v>0</v>
      </c>
    </row>
    <row r="52" spans="2:15" ht="28.2" customHeight="1" x14ac:dyDescent="0.3">
      <c r="B52" s="66" t="s">
        <v>141</v>
      </c>
      <c r="C52" s="73"/>
      <c r="D52" s="73"/>
      <c r="E52" s="73"/>
      <c r="F52" s="73"/>
      <c r="G52" s="73"/>
      <c r="H52" s="73"/>
      <c r="J52" s="42" t="s">
        <v>151</v>
      </c>
      <c r="L52"/>
      <c r="M52"/>
      <c r="N52"/>
      <c r="O52" s="115">
        <v>0</v>
      </c>
    </row>
    <row r="53" spans="2:15" ht="36.6" customHeight="1" x14ac:dyDescent="0.3">
      <c r="B53" s="66" t="s">
        <v>142</v>
      </c>
      <c r="C53" s="160" t="s">
        <v>152</v>
      </c>
      <c r="D53" s="160"/>
      <c r="E53" s="160"/>
      <c r="F53" s="160"/>
      <c r="G53" s="160"/>
      <c r="H53" s="160"/>
      <c r="I53" s="160"/>
      <c r="J53" s="160"/>
      <c r="L53"/>
      <c r="M53"/>
      <c r="N53"/>
      <c r="O53" s="115">
        <v>0</v>
      </c>
    </row>
    <row r="54" spans="2:15" ht="35.4" customHeight="1" x14ac:dyDescent="0.3">
      <c r="B54" s="66" t="s">
        <v>143</v>
      </c>
      <c r="C54" s="160" t="s">
        <v>153</v>
      </c>
      <c r="D54" s="160"/>
      <c r="E54" s="160"/>
      <c r="F54" s="160"/>
      <c r="G54" s="160"/>
      <c r="H54" s="160"/>
      <c r="I54" s="160"/>
      <c r="J54" s="160"/>
      <c r="L54"/>
      <c r="M54"/>
      <c r="N54"/>
      <c r="O54" s="115">
        <v>0</v>
      </c>
    </row>
    <row r="55" spans="2:15" ht="28.2" customHeight="1" x14ac:dyDescent="0.3">
      <c r="B55" s="66" t="s">
        <v>144</v>
      </c>
      <c r="C55" s="73"/>
      <c r="D55" s="73"/>
      <c r="E55" s="73"/>
      <c r="F55" s="73"/>
      <c r="G55" s="73"/>
      <c r="H55" s="73"/>
      <c r="J55" s="42" t="s">
        <v>154</v>
      </c>
      <c r="L55"/>
      <c r="M55"/>
      <c r="N55"/>
      <c r="O55" s="115">
        <v>0</v>
      </c>
    </row>
    <row r="56" spans="2:15" ht="28.2" customHeight="1" thickBot="1" x14ac:dyDescent="0.35">
      <c r="B56" s="75" t="s">
        <v>145</v>
      </c>
      <c r="C56" s="28"/>
      <c r="D56" s="27"/>
      <c r="E56" s="27"/>
      <c r="F56" s="27"/>
      <c r="H56" s="63"/>
      <c r="J56" s="42" t="s">
        <v>155</v>
      </c>
      <c r="L56"/>
      <c r="M56"/>
      <c r="N56"/>
      <c r="O56" s="77">
        <f>SUM(O47:O55)</f>
        <v>0</v>
      </c>
    </row>
    <row r="57" spans="2:15" ht="28.2" customHeight="1" x14ac:dyDescent="0.3">
      <c r="C57" s="28"/>
      <c r="D57" s="27"/>
      <c r="E57" s="27"/>
      <c r="F57" s="27"/>
      <c r="H57" s="63"/>
      <c r="I57" s="27"/>
      <c r="J57" s="12"/>
      <c r="K57" s="27"/>
      <c r="L57"/>
      <c r="M57"/>
      <c r="N57"/>
      <c r="O57" s="27"/>
    </row>
    <row r="58" spans="2:15" ht="40.799999999999997" customHeight="1" thickBot="1" x14ac:dyDescent="0.35">
      <c r="B58" s="148" t="s">
        <v>129</v>
      </c>
      <c r="C58" s="148"/>
      <c r="D58" s="148"/>
      <c r="E58" s="148"/>
      <c r="F58" s="148"/>
      <c r="G58" s="148"/>
      <c r="H58" s="148"/>
      <c r="I58" s="148"/>
      <c r="J58" s="148"/>
      <c r="K58" s="148"/>
      <c r="L58" s="148"/>
      <c r="M58" s="148"/>
      <c r="N58" s="148"/>
      <c r="O58" s="148"/>
    </row>
    <row r="59" spans="2:15" ht="35.1" customHeight="1" thickTop="1" x14ac:dyDescent="0.3">
      <c r="C59" s="10" t="s">
        <v>87</v>
      </c>
      <c r="D59" s="10"/>
      <c r="E59" s="11" t="s">
        <v>82</v>
      </c>
      <c r="F59" s="10"/>
      <c r="G59" s="12" t="s">
        <v>83</v>
      </c>
      <c r="H59" s="12"/>
      <c r="I59" s="12"/>
      <c r="J59" s="12"/>
      <c r="K59" s="10" t="s">
        <v>81</v>
      </c>
      <c r="L59" s="10"/>
      <c r="M59" s="11" t="s">
        <v>84</v>
      </c>
      <c r="N59" s="10"/>
      <c r="O59" s="12" t="s">
        <v>83</v>
      </c>
    </row>
    <row r="60" spans="2:15" ht="30" customHeight="1" thickBot="1" x14ac:dyDescent="0.35">
      <c r="C60" s="10" t="s">
        <v>72</v>
      </c>
      <c r="D60" s="13"/>
      <c r="E60" s="30" t="s">
        <v>73</v>
      </c>
      <c r="F60" s="13"/>
      <c r="G60" s="48">
        <f>IF(E60="Yes",'Categories (Toggle)'!D3,0)</f>
        <v>0</v>
      </c>
      <c r="H60" s="14"/>
      <c r="I60" s="14"/>
      <c r="K60" s="46" t="s">
        <v>85</v>
      </c>
      <c r="L60" s="13"/>
      <c r="M60" s="30">
        <v>0</v>
      </c>
      <c r="N60" s="13"/>
      <c r="O60" s="48">
        <f>M60*'Categories (Toggle)'!D5</f>
        <v>0</v>
      </c>
    </row>
    <row r="61" spans="2:15" ht="30" customHeight="1" thickBot="1" x14ac:dyDescent="0.35">
      <c r="C61" s="10" t="s">
        <v>91</v>
      </c>
      <c r="D61" s="13"/>
      <c r="E61" s="30" t="s">
        <v>452</v>
      </c>
      <c r="F61" s="13"/>
      <c r="G61" s="49">
        <f>'Categories (Toggle)'!D2</f>
        <v>9000</v>
      </c>
      <c r="H61" s="6"/>
      <c r="I61" s="6"/>
      <c r="K61" s="10" t="s">
        <v>86</v>
      </c>
      <c r="L61" s="15"/>
      <c r="M61" s="53">
        <v>0</v>
      </c>
      <c r="N61" s="15"/>
      <c r="O61" s="55">
        <f>M61*'Categories (Toggle)'!D6</f>
        <v>0</v>
      </c>
    </row>
    <row r="62" spans="2:15" ht="30" customHeight="1" x14ac:dyDescent="0.3">
      <c r="C62" s="46"/>
      <c r="D62" s="15"/>
      <c r="E62" s="46"/>
      <c r="F62" s="15"/>
      <c r="G62" s="50"/>
      <c r="H62" s="6"/>
      <c r="I62" s="6"/>
      <c r="K62" s="10" t="s">
        <v>88</v>
      </c>
      <c r="L62" s="10"/>
      <c r="M62" s="30">
        <v>0</v>
      </c>
      <c r="N62" s="13"/>
      <c r="O62" s="56">
        <f>M62*'Categories (Toggle)'!D7</f>
        <v>0</v>
      </c>
    </row>
    <row r="63" spans="2:15" ht="30" customHeight="1" x14ac:dyDescent="0.3">
      <c r="C63" s="139" t="s">
        <v>75</v>
      </c>
      <c r="D63" s="140"/>
      <c r="E63" s="141" t="s">
        <v>73</v>
      </c>
      <c r="F63" s="140"/>
      <c r="G63" s="142">
        <f>IF(E63="Yes",'Categories (Toggle)'!D4,0)</f>
        <v>0</v>
      </c>
      <c r="H63" s="6"/>
      <c r="I63" s="6"/>
      <c r="J63" s="6"/>
      <c r="K63" s="52"/>
      <c r="M63" s="54"/>
      <c r="O63" s="57"/>
    </row>
    <row r="64" spans="2:15" ht="30" customHeight="1" thickBot="1" x14ac:dyDescent="0.35">
      <c r="C64" s="139" t="s">
        <v>74</v>
      </c>
      <c r="D64" s="140"/>
      <c r="E64" s="141" t="s">
        <v>69</v>
      </c>
      <c r="F64" s="140"/>
      <c r="G64" s="142">
        <f>IF(E64="No",4000,0)</f>
        <v>0</v>
      </c>
      <c r="H64" s="5"/>
      <c r="I64" s="5"/>
      <c r="J64" s="165" t="s">
        <v>89</v>
      </c>
      <c r="K64" s="165"/>
      <c r="L64" s="16"/>
      <c r="M64" s="53">
        <v>0</v>
      </c>
      <c r="N64" s="15"/>
      <c r="O64" s="58">
        <f>M64*'Categories (Toggle)'!D8</f>
        <v>0</v>
      </c>
    </row>
    <row r="65" spans="2:25" ht="38.4" customHeight="1" thickBot="1" x14ac:dyDescent="0.35">
      <c r="C65" s="139" t="s">
        <v>92</v>
      </c>
      <c r="D65" s="140"/>
      <c r="E65" s="140"/>
      <c r="F65" s="140"/>
      <c r="G65" s="141">
        <v>0</v>
      </c>
      <c r="H65" s="6"/>
      <c r="I65" s="6"/>
      <c r="K65" s="10" t="s">
        <v>90</v>
      </c>
      <c r="L65" s="15"/>
      <c r="M65" s="53">
        <v>0</v>
      </c>
      <c r="N65" s="15"/>
      <c r="O65" s="59">
        <f>M65*SUM('Categories (Toggle)'!D8:D9)</f>
        <v>0</v>
      </c>
    </row>
    <row r="66" spans="2:25" ht="30" customHeight="1" x14ac:dyDescent="0.3">
      <c r="B66" s="15"/>
      <c r="C66" s="15"/>
      <c r="D66" s="15"/>
      <c r="E66" s="15"/>
      <c r="F66" s="15"/>
      <c r="G66" s="7"/>
      <c r="H66" s="5"/>
      <c r="I66" s="5"/>
      <c r="J66" s="5"/>
      <c r="K66" s="15"/>
      <c r="L66" s="15"/>
      <c r="M66" s="15"/>
      <c r="N66" s="15"/>
      <c r="O66"/>
    </row>
    <row r="67" spans="2:25" ht="29.4" customHeight="1" thickBot="1" x14ac:dyDescent="0.35">
      <c r="B67" s="148" t="s">
        <v>101</v>
      </c>
      <c r="C67" s="148"/>
      <c r="D67" s="148"/>
      <c r="E67" s="148"/>
      <c r="F67" s="148"/>
      <c r="G67" s="148"/>
      <c r="H67" s="148"/>
      <c r="I67" s="148"/>
      <c r="J67" s="148"/>
      <c r="K67" s="148"/>
      <c r="L67" s="148"/>
      <c r="M67" s="148"/>
      <c r="N67" s="148"/>
      <c r="O67" s="148"/>
      <c r="V67" s="17"/>
      <c r="W67" s="17"/>
      <c r="X67" s="17"/>
      <c r="Y67" s="17"/>
    </row>
    <row r="68" spans="2:25" ht="20.100000000000001" customHeight="1" thickTop="1" x14ac:dyDescent="0.3">
      <c r="V68" s="17"/>
      <c r="W68" s="17"/>
      <c r="X68" s="17"/>
      <c r="Y68" s="17"/>
    </row>
    <row r="69" spans="2:25" ht="24" customHeight="1" thickBot="1" x14ac:dyDescent="0.35">
      <c r="B69" s="52"/>
      <c r="C69" s="52"/>
      <c r="D69" s="52"/>
      <c r="E69" s="10" t="str" cm="1">
        <f t="array" aca="1" ref="E69:E73" ca="1">_xlfn.CHOOSECOLS(_xlfn.ANCHORARRAY('Categories (expenses)'!N2),1)</f>
        <v>Net deposit in SSPN</v>
      </c>
      <c r="F69" s="52"/>
      <c r="G69" s="60" cm="1">
        <f t="array" aca="1" ref="G69:G73" ca="1">_xlfn.CHOOSECOLS(_xlfn.ANCHORARRAY('Categories (expenses)'!N2),2)</f>
        <v>5000</v>
      </c>
      <c r="H69" s="52"/>
      <c r="I69" s="52"/>
      <c r="J69" s="52"/>
      <c r="K69" s="52"/>
      <c r="L69" s="52"/>
      <c r="M69" s="10" t="str" cm="1">
        <f t="array" aca="1" ref="M69:M72" ca="1">_xlfn.CHOOSECOLS(_xlfn.ANCHORARRAY('Categories (expenses)'!Q2),1)</f>
        <v>PRS</v>
      </c>
      <c r="N69" s="52"/>
      <c r="O69" s="60" cm="1">
        <f t="array" aca="1" ref="O69:O72" ca="1">_xlfn.CHOOSECOLS(_xlfn.ANCHORARRAY('Categories (expenses)'!Q2),2)</f>
        <v>3000</v>
      </c>
      <c r="V69" s="17"/>
      <c r="W69" s="17"/>
      <c r="X69" s="17"/>
      <c r="Y69" s="17"/>
    </row>
    <row r="70" spans="2:25" ht="44.4" customHeight="1" thickBot="1" x14ac:dyDescent="0.35">
      <c r="B70" s="52"/>
      <c r="C70" s="52"/>
      <c r="D70" s="52"/>
      <c r="E70" s="10" t="str">
        <f ca="1"/>
        <v>EPF</v>
      </c>
      <c r="F70" s="52"/>
      <c r="G70" s="60">
        <f ca="1"/>
        <v>4000</v>
      </c>
      <c r="H70" s="52"/>
      <c r="I70" s="52"/>
      <c r="J70" s="52"/>
      <c r="K70" s="52"/>
      <c r="L70" s="52"/>
      <c r="M70" s="10" t="str">
        <f ca="1"/>
        <v>Education and medical insurance</v>
      </c>
      <c r="N70" s="52"/>
      <c r="O70" s="60">
        <f ca="1"/>
        <v>3000</v>
      </c>
    </row>
    <row r="71" spans="2:25" ht="25.2" customHeight="1" thickBot="1" x14ac:dyDescent="0.35">
      <c r="B71" s="52"/>
      <c r="C71" s="52"/>
      <c r="D71" s="52"/>
      <c r="E71" s="10" t="str">
        <f ca="1"/>
        <v>Kindergarden (6yo and below)</v>
      </c>
      <c r="F71" s="52"/>
      <c r="G71" s="60">
        <f ca="1"/>
        <v>3000</v>
      </c>
      <c r="H71" s="52"/>
      <c r="I71" s="52"/>
      <c r="J71" s="52"/>
      <c r="K71" s="52"/>
      <c r="L71" s="52"/>
      <c r="M71" s="10" t="str">
        <f ca="1"/>
        <v>Lifestyle(books/personal smart device/sports equipment/internet bill)</v>
      </c>
      <c r="N71" s="52"/>
      <c r="O71" s="60">
        <f ca="1"/>
        <v>2500</v>
      </c>
    </row>
    <row r="72" spans="2:25" ht="26.4" customHeight="1" thickBot="1" x14ac:dyDescent="0.35">
      <c r="B72" s="52"/>
      <c r="C72" s="52"/>
      <c r="D72" s="52"/>
      <c r="E72" s="10" t="str">
        <f ca="1"/>
        <v>Life Insurance</v>
      </c>
      <c r="F72" s="52"/>
      <c r="G72" s="60">
        <f ca="1"/>
        <v>3000</v>
      </c>
      <c r="H72" s="52"/>
      <c r="I72" s="52"/>
      <c r="J72" s="52"/>
      <c r="K72" s="52"/>
      <c r="L72" s="52"/>
      <c r="M72" s="10" t="str">
        <f ca="1"/>
        <v>Contribution to SOCSO</v>
      </c>
      <c r="N72" s="52"/>
      <c r="O72" s="60">
        <f ca="1"/>
        <v>350</v>
      </c>
    </row>
    <row r="73" spans="2:25" ht="30" customHeight="1" thickBot="1" x14ac:dyDescent="0.35">
      <c r="B73" s="52"/>
      <c r="C73" s="52"/>
      <c r="D73" s="52"/>
      <c r="E73" s="10" t="str">
        <f ca="1"/>
        <v>PRS</v>
      </c>
      <c r="F73" s="52"/>
      <c r="G73" s="60">
        <f ca="1"/>
        <v>3000</v>
      </c>
      <c r="H73" s="52"/>
      <c r="I73" s="52"/>
      <c r="J73" s="52"/>
      <c r="K73" s="52"/>
      <c r="L73" s="52"/>
      <c r="M73" s="10"/>
      <c r="N73" s="52"/>
      <c r="O73" s="60"/>
    </row>
    <row r="74" spans="2:25" ht="24.9" customHeight="1" thickBot="1" x14ac:dyDescent="0.35">
      <c r="B74" s="52"/>
      <c r="C74" s="52"/>
      <c r="D74" s="52"/>
      <c r="E74" s="10"/>
      <c r="F74" s="52"/>
      <c r="G74" s="60"/>
      <c r="H74" s="52"/>
      <c r="I74" s="52"/>
      <c r="J74" s="52"/>
      <c r="K74" s="52"/>
      <c r="L74" s="52"/>
      <c r="M74" s="10"/>
      <c r="N74" s="52"/>
      <c r="O74" s="60"/>
    </row>
    <row r="75" spans="2:25" ht="34.200000000000003" customHeight="1" thickBot="1" x14ac:dyDescent="0.35">
      <c r="B75" s="52"/>
      <c r="C75" s="52"/>
      <c r="D75" s="52"/>
      <c r="E75" s="10"/>
      <c r="F75" s="52"/>
      <c r="G75" s="60"/>
      <c r="H75" s="52"/>
      <c r="I75" s="52"/>
      <c r="J75" s="52"/>
      <c r="K75" s="52"/>
      <c r="L75" s="52"/>
      <c r="M75" s="10"/>
      <c r="N75" s="52"/>
      <c r="O75" s="60"/>
    </row>
    <row r="76" spans="2:25" ht="30.6" customHeight="1" thickBot="1" x14ac:dyDescent="0.35">
      <c r="B76" s="52"/>
      <c r="C76" s="52"/>
      <c r="D76" s="52"/>
      <c r="E76" s="10"/>
      <c r="F76" s="52"/>
      <c r="G76" s="60"/>
      <c r="H76" s="52"/>
      <c r="I76" s="52"/>
      <c r="J76" s="52"/>
      <c r="K76" s="52"/>
      <c r="L76" s="52"/>
      <c r="M76" s="10"/>
      <c r="N76" s="52"/>
      <c r="O76" s="60"/>
    </row>
    <row r="77" spans="2:25" ht="24.9" customHeight="1" x14ac:dyDescent="0.3">
      <c r="E77" s="13"/>
      <c r="G77" s="43"/>
      <c r="M77" s="13"/>
      <c r="O77" s="43"/>
    </row>
    <row r="78" spans="2:25" ht="24.9" customHeight="1" x14ac:dyDescent="0.3">
      <c r="E78" s="13"/>
      <c r="G78" s="43"/>
      <c r="M78" s="13"/>
      <c r="O78" s="43"/>
    </row>
    <row r="79" spans="2:25" ht="21" customHeight="1" x14ac:dyDescent="0.3">
      <c r="B79" s="18"/>
      <c r="C79" s="18"/>
      <c r="D79" s="18"/>
      <c r="E79" s="42"/>
      <c r="F79" s="18"/>
      <c r="G79" s="44"/>
      <c r="H79" s="18"/>
      <c r="I79" s="18"/>
      <c r="J79" s="18"/>
      <c r="K79" s="18"/>
      <c r="L79" s="18"/>
      <c r="M79" s="42"/>
      <c r="N79" s="18"/>
      <c r="O79" s="44"/>
    </row>
    <row r="80" spans="2:25" ht="20.100000000000001" customHeight="1" x14ac:dyDescent="0.3">
      <c r="E80" s="13"/>
      <c r="G80" s="43"/>
      <c r="M80" s="13"/>
      <c r="O80" s="43"/>
    </row>
    <row r="81" spans="2:18" ht="34.799999999999997" customHeight="1" thickBot="1" x14ac:dyDescent="0.35">
      <c r="B81" s="148" t="s">
        <v>80</v>
      </c>
      <c r="C81" s="148"/>
      <c r="D81" s="148"/>
      <c r="E81" s="148"/>
      <c r="F81" s="148"/>
      <c r="G81" s="148"/>
      <c r="H81" s="148"/>
      <c r="I81" s="148"/>
      <c r="J81" s="148"/>
      <c r="K81" s="148"/>
      <c r="L81" s="148"/>
      <c r="M81" s="148"/>
      <c r="N81" s="148"/>
      <c r="O81" s="148"/>
    </row>
    <row r="82" spans="2:18" ht="20.100000000000001" customHeight="1" thickTop="1" x14ac:dyDescent="0.3"/>
    <row r="83" spans="2:18" ht="20.100000000000001" customHeight="1" thickBot="1" x14ac:dyDescent="0.35">
      <c r="D83" s="68"/>
      <c r="E83" s="69" t="s">
        <v>165</v>
      </c>
      <c r="G83" s="81">
        <f>J20+J24</f>
        <v>200000</v>
      </c>
      <c r="H83" s="20"/>
      <c r="I83" s="20"/>
      <c r="J83" s="158" t="s">
        <v>169</v>
      </c>
      <c r="K83" s="158"/>
      <c r="L83" s="158"/>
      <c r="M83" s="158"/>
      <c r="N83" s="158"/>
      <c r="O83" s="158"/>
    </row>
    <row r="84" spans="2:18" ht="20.100000000000001" customHeight="1" thickBot="1" x14ac:dyDescent="0.35">
      <c r="D84" s="68"/>
      <c r="L84" s="68"/>
      <c r="M84" s="69" t="s">
        <v>61</v>
      </c>
      <c r="N84"/>
      <c r="O84" s="81">
        <f>J27</f>
        <v>166850</v>
      </c>
    </row>
    <row r="85" spans="2:18" ht="20.100000000000001" customHeight="1" thickBot="1" x14ac:dyDescent="0.35">
      <c r="B85"/>
      <c r="C85" s="158" t="s">
        <v>76</v>
      </c>
      <c r="D85" s="158"/>
      <c r="E85" s="158"/>
      <c r="F85" s="158"/>
      <c r="G85" s="158"/>
      <c r="H85"/>
      <c r="I85"/>
      <c r="J85"/>
      <c r="L85" s="68"/>
      <c r="M85" s="13"/>
      <c r="O85" s="65"/>
    </row>
    <row r="86" spans="2:18" ht="20.100000000000001" customHeight="1" thickTop="1" thickBot="1" x14ac:dyDescent="0.35">
      <c r="E86" s="69" t="s">
        <v>166</v>
      </c>
      <c r="G86" s="81">
        <f>J21</f>
        <v>0</v>
      </c>
      <c r="H86"/>
      <c r="I86"/>
      <c r="J86"/>
      <c r="M86" s="69" t="s">
        <v>168</v>
      </c>
      <c r="O86" s="82">
        <f>J33</f>
        <v>26112.5</v>
      </c>
    </row>
    <row r="87" spans="2:18" ht="20.100000000000001" customHeight="1" thickBot="1" x14ac:dyDescent="0.35">
      <c r="E87" s="69" t="s">
        <v>167</v>
      </c>
      <c r="G87" s="81">
        <f>J23</f>
        <v>0</v>
      </c>
      <c r="H87"/>
      <c r="I87"/>
      <c r="J87"/>
      <c r="M87" s="69" t="s">
        <v>171</v>
      </c>
      <c r="O87" s="82">
        <f>J33</f>
        <v>26112.5</v>
      </c>
    </row>
    <row r="88" spans="2:18" ht="20.100000000000001" customHeight="1" x14ac:dyDescent="0.3">
      <c r="B88" s="13"/>
    </row>
    <row r="89" spans="2:18" ht="20.100000000000001" customHeight="1" thickBot="1" x14ac:dyDescent="0.35">
      <c r="M89" s="73" t="s">
        <v>180</v>
      </c>
      <c r="O89" s="82">
        <f>J34</f>
        <v>6930</v>
      </c>
    </row>
    <row r="90" spans="2:18" ht="20.100000000000001" customHeight="1" x14ac:dyDescent="0.3">
      <c r="C90" s="80" t="s">
        <v>93</v>
      </c>
      <c r="D90"/>
      <c r="E90" s="159">
        <f>SUM(G60:G65,O60:O65)</f>
        <v>9000</v>
      </c>
      <c r="F90" s="159"/>
    </row>
    <row r="91" spans="2:18" ht="21.6" customHeight="1" thickBot="1" x14ac:dyDescent="0.35">
      <c r="C91" s="80" t="s">
        <v>94</v>
      </c>
      <c r="D91" s="68"/>
      <c r="E91" s="159">
        <f>SUM(Expenses_Categories[Tax Relief])</f>
        <v>24150</v>
      </c>
      <c r="F91" s="159"/>
      <c r="M91" s="96" t="str">
        <f>H35</f>
        <v>Balance of tax payable</v>
      </c>
      <c r="O91" s="97">
        <f>J35</f>
        <v>19182.5</v>
      </c>
      <c r="P91" s="86"/>
      <c r="Q91" s="86"/>
      <c r="R91" s="86"/>
    </row>
    <row r="92" spans="2:18" ht="20.100000000000001" customHeight="1" thickBot="1" x14ac:dyDescent="0.35">
      <c r="D92" s="68"/>
      <c r="E92" s="69" t="s">
        <v>77</v>
      </c>
      <c r="F92"/>
      <c r="G92" s="81">
        <f>SUM(E90:E91)</f>
        <v>33150</v>
      </c>
    </row>
    <row r="93" spans="2:18" ht="20.100000000000001" customHeight="1" thickBot="1" x14ac:dyDescent="0.35">
      <c r="J93" s="156" t="s">
        <v>175</v>
      </c>
      <c r="K93" s="156"/>
      <c r="L93" s="156"/>
      <c r="M93" s="156"/>
      <c r="O93" s="87" t="str" cm="1">
        <f t="array" ref="O93:O94">TRANSPOSE(_xlfn.ANCHORARRAY('Tax Calculator'!J3))</f>
        <v>Medical (self/spouse/child)</v>
      </c>
    </row>
    <row r="94" spans="2:18" ht="20.100000000000001" customHeight="1" thickBot="1" x14ac:dyDescent="0.35">
      <c r="E94" s="69" t="s">
        <v>170</v>
      </c>
      <c r="G94" s="81">
        <f>SUM(J29,J31,J32)</f>
        <v>0</v>
      </c>
      <c r="J94" s="156"/>
      <c r="K94" s="156"/>
      <c r="L94" s="156"/>
      <c r="M94" s="156"/>
      <c r="O94" s="82">
        <v>9700</v>
      </c>
    </row>
    <row r="99" spans="9:19" ht="14.4" hidden="1" customHeight="1" x14ac:dyDescent="0.3">
      <c r="I99" s="32" t="str" cm="1">
        <f t="array" ref="I99:K110">Tax_Payable_Table[#All]</f>
        <v>Tax Bracket</v>
      </c>
      <c r="J99" s="33" t="str">
        <v>Tax Rate</v>
      </c>
      <c r="K99" s="34" t="str">
        <v>Taxes</v>
      </c>
      <c r="P99" s="24"/>
    </row>
    <row r="100" spans="9:19" ht="20.100000000000001" hidden="1" customHeight="1" x14ac:dyDescent="0.3">
      <c r="I100" s="35">
        <v>5000</v>
      </c>
      <c r="J100" s="36">
        <v>0</v>
      </c>
      <c r="K100" s="37">
        <v>0</v>
      </c>
      <c r="P100" s="24"/>
      <c r="Q100" s="24"/>
      <c r="R100" s="24"/>
      <c r="S100" s="24"/>
    </row>
    <row r="101" spans="9:19" ht="20.100000000000001" hidden="1" customHeight="1" x14ac:dyDescent="0.3">
      <c r="I101" s="35">
        <v>20000</v>
      </c>
      <c r="J101" s="36">
        <v>0.01</v>
      </c>
      <c r="K101" s="37">
        <v>150</v>
      </c>
      <c r="P101" s="24"/>
      <c r="Q101" s="24"/>
      <c r="R101" s="24"/>
      <c r="S101" s="24"/>
    </row>
    <row r="102" spans="9:19" ht="17.399999999999999" hidden="1" customHeight="1" x14ac:dyDescent="0.3">
      <c r="I102" s="35">
        <v>35000</v>
      </c>
      <c r="J102" s="36">
        <v>0.03</v>
      </c>
      <c r="K102" s="37">
        <v>450</v>
      </c>
      <c r="P102" s="24"/>
      <c r="Q102" s="24"/>
      <c r="R102" s="24"/>
      <c r="S102" s="24"/>
    </row>
    <row r="103" spans="9:19" ht="20.100000000000001" hidden="1" customHeight="1" x14ac:dyDescent="0.3">
      <c r="I103" s="35">
        <v>50000</v>
      </c>
      <c r="J103" s="36">
        <v>0.06</v>
      </c>
      <c r="K103" s="37">
        <v>900</v>
      </c>
      <c r="P103" s="24"/>
      <c r="Q103" s="25"/>
      <c r="R103" s="24"/>
      <c r="S103" s="24"/>
    </row>
    <row r="104" spans="9:19" ht="20.100000000000001" hidden="1" customHeight="1" x14ac:dyDescent="0.3">
      <c r="I104" s="35">
        <v>70000</v>
      </c>
      <c r="J104" s="36">
        <v>0.11</v>
      </c>
      <c r="K104" s="37">
        <v>2200</v>
      </c>
      <c r="P104" s="24"/>
      <c r="Q104" s="25"/>
      <c r="R104" s="24"/>
      <c r="S104" s="24"/>
    </row>
    <row r="105" spans="9:19" ht="20.100000000000001" hidden="1" customHeight="1" x14ac:dyDescent="0.3">
      <c r="I105" s="35">
        <v>100000</v>
      </c>
      <c r="J105" s="36">
        <v>0.19</v>
      </c>
      <c r="K105" s="37">
        <v>5700</v>
      </c>
      <c r="P105" s="24"/>
      <c r="Q105" s="24"/>
      <c r="R105" s="24"/>
      <c r="S105" s="24"/>
    </row>
    <row r="106" spans="9:19" ht="20.100000000000001" hidden="1" customHeight="1" x14ac:dyDescent="0.3">
      <c r="I106" s="35">
        <v>400000</v>
      </c>
      <c r="J106" s="36">
        <v>0.25</v>
      </c>
      <c r="K106" s="37">
        <v>16712.5</v>
      </c>
      <c r="P106" s="24"/>
      <c r="Q106" s="24"/>
      <c r="R106" s="24"/>
      <c r="S106" s="24"/>
    </row>
    <row r="107" spans="9:19" ht="20.100000000000001" hidden="1" customHeight="1" x14ac:dyDescent="0.3">
      <c r="I107" s="35">
        <v>600000</v>
      </c>
      <c r="J107" s="36">
        <v>0.26</v>
      </c>
      <c r="K107" s="37">
        <v>0</v>
      </c>
      <c r="P107" s="24"/>
      <c r="Q107" s="24"/>
      <c r="R107" s="24"/>
      <c r="S107" s="24"/>
    </row>
    <row r="108" spans="9:19" ht="20.100000000000001" hidden="1" customHeight="1" x14ac:dyDescent="0.3">
      <c r="I108" s="35">
        <v>2000000</v>
      </c>
      <c r="J108" s="36">
        <v>0.28000000000000003</v>
      </c>
      <c r="K108" s="37">
        <v>0</v>
      </c>
      <c r="P108" s="24"/>
      <c r="Q108" s="24"/>
      <c r="R108" s="24"/>
      <c r="S108" s="24"/>
    </row>
    <row r="109" spans="9:19" ht="20.100000000000001" hidden="1" customHeight="1" thickBot="1" x14ac:dyDescent="0.35">
      <c r="I109" s="38" t="str">
        <v>&gt;2000000</v>
      </c>
      <c r="J109" s="36">
        <v>0.3</v>
      </c>
      <c r="K109" s="37">
        <v>0</v>
      </c>
      <c r="P109" s="24"/>
      <c r="Q109" s="24"/>
      <c r="R109" s="24"/>
      <c r="S109" s="24"/>
    </row>
    <row r="110" spans="9:19" ht="20.100000000000001" hidden="1" customHeight="1" thickTop="1" x14ac:dyDescent="0.3">
      <c r="I110" s="39" t="str">
        <v>Total</v>
      </c>
      <c r="J110" s="40">
        <v>0</v>
      </c>
      <c r="K110" s="41">
        <v>26112.5</v>
      </c>
      <c r="P110" s="26"/>
      <c r="Q110" s="24"/>
      <c r="R110" s="24"/>
      <c r="S110" s="24"/>
    </row>
  </sheetData>
  <sheetProtection algorithmName="SHA-512" hashValue="BP+7+uyLEgR/lUz3buFAZ3YjENz49YlRW/IVdW9kQP4TzAruT47juj0/8g0rWE59a1DVeGaYUN5XNiGSD8OpNA==" saltValue="FhzpOX3vHYRg8znOFNEDUw==" spinCount="100000" sheet="1" objects="1" scenarios="1" formatCells="0" formatRows="0" selectLockedCells="1"/>
  <mergeCells count="27">
    <mergeCell ref="C16:H17"/>
    <mergeCell ref="C18:H19"/>
    <mergeCell ref="B58:O58"/>
    <mergeCell ref="C54:J54"/>
    <mergeCell ref="B2:C2"/>
    <mergeCell ref="B7:O7"/>
    <mergeCell ref="E10:G10"/>
    <mergeCell ref="M10:O10"/>
    <mergeCell ref="B12:O12"/>
    <mergeCell ref="M8:O8"/>
    <mergeCell ref="B8:K8"/>
    <mergeCell ref="J93:M94"/>
    <mergeCell ref="C21:H21"/>
    <mergeCell ref="J83:O83"/>
    <mergeCell ref="C85:G85"/>
    <mergeCell ref="E90:F90"/>
    <mergeCell ref="E91:F91"/>
    <mergeCell ref="B39:O39"/>
    <mergeCell ref="I42:M43"/>
    <mergeCell ref="B45:O45"/>
    <mergeCell ref="C50:J50"/>
    <mergeCell ref="C53:J53"/>
    <mergeCell ref="K48:K50"/>
    <mergeCell ref="O48:O50"/>
    <mergeCell ref="J64:K64"/>
    <mergeCell ref="B81:O81"/>
    <mergeCell ref="B67:O67"/>
  </mergeCells>
  <conditionalFormatting sqref="G69:G80">
    <cfRule type="cellIs" dxfId="34" priority="3" operator="greaterThan">
      <formula>0</formula>
    </cfRule>
  </conditionalFormatting>
  <conditionalFormatting sqref="O69:O80">
    <cfRule type="cellIs" dxfId="33" priority="2" operator="greaterThan">
      <formula>0</formula>
    </cfRule>
  </conditionalFormatting>
  <conditionalFormatting sqref="J35">
    <cfRule type="expression" dxfId="32" priority="1">
      <formula>$J$33&gt;$J$34</formula>
    </cfRule>
  </conditionalFormatting>
  <dataValidations count="7">
    <dataValidation type="list" allowBlank="1" showInputMessage="1" showErrorMessage="1" sqref="E61" xr:uid="{C084010C-B98B-4FFF-BC52-37DAF733B32D}">
      <formula1>"Single,Married,Divorced"</formula1>
    </dataValidation>
    <dataValidation type="list" allowBlank="1" showInputMessage="1" showErrorMessage="1" sqref="E60 E63:E64" xr:uid="{2F573EE0-CD6D-49A6-97F3-6C4DBB2E557E}">
      <formula1>"Yes,No"</formula1>
    </dataValidation>
    <dataValidation type="whole" showInputMessage="1" showErrorMessage="1" errorTitle="Error" error="Number should be between 0 and 20!_x000a_" promptTitle="Input Note" prompt="You can change the number in cell directly or use the sping box. Number must be between 0 and 20_x000a_" sqref="M64:M65 M60:M62" xr:uid="{E71B7930-9B90-43CB-94BC-D72A25D86967}">
      <formula1>0</formula1>
      <formula2>20</formula2>
    </dataValidation>
    <dataValidation type="whole" allowBlank="1" showInputMessage="1" showErrorMessage="1" errorTitle="Error!" error="Value should be not greater than 4000!" promptTitle="Input a whole number" prompt="Not greater than 4000" sqref="G65" xr:uid="{CB68D595-1C75-46D8-BF40-98C21D1E8E34}">
      <formula1>0</formula1>
      <formula2>4000</formula2>
    </dataValidation>
    <dataValidation type="whole" operator="greaterThanOrEqual" allowBlank="1" showInputMessage="1" showErrorMessage="1" errorTitle="Error!" error="Value should be positive whole number!" sqref="J14:J16 J18 O41:O42 J24 J31:J32 O47 M48:M50 O51:O55" xr:uid="{61997B27-39DE-4831-8743-DE0B3A7E1073}">
      <formula1>0</formula1>
    </dataValidation>
    <dataValidation type="whole" operator="greaterThanOrEqual" allowBlank="1" showInputMessage="1" showErrorMessage="1" errorTitle="Error!" error="Investment should be at least RM5000!" promptTitle="Angel Investor" prompt="Investment of at least RM5000" sqref="J21" xr:uid="{43A72DD3-4374-4774-A8FD-C67BC0E6802A}">
      <formula1>5000</formula1>
    </dataValidation>
    <dataValidation type="list" operator="greaterThanOrEqual" allowBlank="1" showInputMessage="1" showErrorMessage="1" errorTitle="Error!" error="Should be 0,400 or 800!_x000a_" sqref="G41" xr:uid="{CC063B7D-42ED-43C0-857D-44F009965872}">
      <formula1>"0,400,800"</formula1>
    </dataValidation>
  </dataValidations>
  <printOptions horizontalCentered="1"/>
  <pageMargins left="0.70866141732283472" right="0.70866141732283472" top="0.74803149606299213" bottom="0.74803149606299213" header="0.31496062992125984" footer="0.31496062992125984"/>
  <pageSetup paperSize="8" fitToWidth="0" fitToHeight="0" orientation="landscape" r:id="rId1"/>
  <rowBreaks count="2" manualBreakCount="2">
    <brk id="1" max="16383" man="1"/>
    <brk id="43" max="16383" man="1"/>
  </rowBreaks>
  <colBreaks count="1" manualBreakCount="1">
    <brk id="1" max="1048575" man="1"/>
  </colBreaks>
  <drawing r:id="rId2"/>
  <legacyDrawing r:id="rId3"/>
  <controls>
    <mc:AlternateContent xmlns:mc="http://schemas.openxmlformats.org/markup-compatibility/2006">
      <mc:Choice Requires="x14">
        <control shapeId="7174" r:id="rId4" name="TaxBracket">
          <controlPr defaultSize="0" autoLine="0" r:id="rId5">
            <anchor moveWithCells="1">
              <from>
                <xdr:col>8</xdr:col>
                <xdr:colOff>53340</xdr:colOff>
                <xdr:row>95</xdr:row>
                <xdr:rowOff>137160</xdr:rowOff>
              </from>
              <to>
                <xdr:col>9</xdr:col>
                <xdr:colOff>640080</xdr:colOff>
                <xdr:row>97</xdr:row>
                <xdr:rowOff>137160</xdr:rowOff>
              </to>
            </anchor>
          </controlPr>
        </control>
      </mc:Choice>
      <mc:Fallback>
        <control shapeId="7174" r:id="rId4" name="TaxBracket"/>
      </mc:Fallback>
    </mc:AlternateContent>
    <mc:AlternateContent xmlns:mc="http://schemas.openxmlformats.org/markup-compatibility/2006">
      <mc:Choice Requires="x14">
        <control shapeId="7169" r:id="rId6" name="Spinner 1">
          <controlPr defaultSize="0" autoPict="0">
            <anchor moveWithCells="1" sizeWithCells="1">
              <from>
                <xdr:col>12</xdr:col>
                <xdr:colOff>708660</xdr:colOff>
                <xdr:row>59</xdr:row>
                <xdr:rowOff>0</xdr:rowOff>
              </from>
              <to>
                <xdr:col>12</xdr:col>
                <xdr:colOff>883920</xdr:colOff>
                <xdr:row>59</xdr:row>
                <xdr:rowOff>373380</xdr:rowOff>
              </to>
            </anchor>
          </controlPr>
        </control>
      </mc:Choice>
    </mc:AlternateContent>
    <mc:AlternateContent xmlns:mc="http://schemas.openxmlformats.org/markup-compatibility/2006">
      <mc:Choice Requires="x14">
        <control shapeId="7170" r:id="rId7" name="Spinner 2">
          <controlPr defaultSize="0" autoPict="0">
            <anchor moveWithCells="1" sizeWithCells="1">
              <from>
                <xdr:col>12</xdr:col>
                <xdr:colOff>708660</xdr:colOff>
                <xdr:row>60</xdr:row>
                <xdr:rowOff>7620</xdr:rowOff>
              </from>
              <to>
                <xdr:col>12</xdr:col>
                <xdr:colOff>891540</xdr:colOff>
                <xdr:row>60</xdr:row>
                <xdr:rowOff>381000</xdr:rowOff>
              </to>
            </anchor>
          </controlPr>
        </control>
      </mc:Choice>
    </mc:AlternateContent>
    <mc:AlternateContent xmlns:mc="http://schemas.openxmlformats.org/markup-compatibility/2006">
      <mc:Choice Requires="x14">
        <control shapeId="7171" r:id="rId8" name="Spinner 3">
          <controlPr defaultSize="0" autoPict="0">
            <anchor moveWithCells="1" sizeWithCells="1">
              <from>
                <xdr:col>12</xdr:col>
                <xdr:colOff>701040</xdr:colOff>
                <xdr:row>61</xdr:row>
                <xdr:rowOff>7620</xdr:rowOff>
              </from>
              <to>
                <xdr:col>12</xdr:col>
                <xdr:colOff>876300</xdr:colOff>
                <xdr:row>61</xdr:row>
                <xdr:rowOff>381000</xdr:rowOff>
              </to>
            </anchor>
          </controlPr>
        </control>
      </mc:Choice>
    </mc:AlternateContent>
    <mc:AlternateContent xmlns:mc="http://schemas.openxmlformats.org/markup-compatibility/2006">
      <mc:Choice Requires="x14">
        <control shapeId="7172" r:id="rId9" name="Spinner 4">
          <controlPr defaultSize="0" autoPict="0">
            <anchor moveWithCells="1" sizeWithCells="1">
              <from>
                <xdr:col>12</xdr:col>
                <xdr:colOff>708660</xdr:colOff>
                <xdr:row>63</xdr:row>
                <xdr:rowOff>0</xdr:rowOff>
              </from>
              <to>
                <xdr:col>12</xdr:col>
                <xdr:colOff>883920</xdr:colOff>
                <xdr:row>63</xdr:row>
                <xdr:rowOff>373380</xdr:rowOff>
              </to>
            </anchor>
          </controlPr>
        </control>
      </mc:Choice>
    </mc:AlternateContent>
    <mc:AlternateContent xmlns:mc="http://schemas.openxmlformats.org/markup-compatibility/2006">
      <mc:Choice Requires="x14">
        <control shapeId="7173" r:id="rId10" name="Spinner 5">
          <controlPr defaultSize="0" autoPict="0">
            <anchor moveWithCells="1" sizeWithCells="1">
              <from>
                <xdr:col>12</xdr:col>
                <xdr:colOff>708660</xdr:colOff>
                <xdr:row>64</xdr:row>
                <xdr:rowOff>7620</xdr:rowOff>
              </from>
              <to>
                <xdr:col>12</xdr:col>
                <xdr:colOff>876300</xdr:colOff>
                <xdr:row>65</xdr:row>
                <xdr:rowOff>15240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2"/>
  <sheetViews>
    <sheetView showGridLines="0" showRowColHeaders="0" tabSelected="1" zoomScaleNormal="100" workbookViewId="0">
      <pane ySplit="1" topLeftCell="A15" activePane="bottomLeft" state="frozen"/>
      <selection pane="bottomLeft" activeCell="E63" sqref="E63:G64"/>
    </sheetView>
  </sheetViews>
  <sheetFormatPr defaultRowHeight="14.4" x14ac:dyDescent="0.3"/>
  <cols>
    <col min="1" max="1" width="5.88671875" style="135" customWidth="1"/>
    <col min="2" max="2" width="43.33203125" style="135" customWidth="1"/>
    <col min="3" max="3" width="48.21875" style="135" bestFit="1" customWidth="1"/>
    <col min="4" max="4" width="20.5546875" style="135" customWidth="1"/>
    <col min="5" max="5" width="13.77734375" style="135" customWidth="1"/>
    <col min="6" max="6" width="18.44140625" style="135" customWidth="1"/>
    <col min="7" max="7" width="8.88671875" style="135"/>
    <col min="8" max="8" width="19.33203125" style="135" customWidth="1"/>
    <col min="9" max="16384" width="8.88671875" style="135"/>
  </cols>
  <sheetData>
    <row r="1" spans="1:6" s="129" customFormat="1" ht="39.6" customHeight="1" thickBot="1" x14ac:dyDescent="0.35"/>
    <row r="2" spans="1:6" customFormat="1" ht="67.8" customHeight="1" thickTop="1" x14ac:dyDescent="0.45">
      <c r="B2" s="176" t="s">
        <v>453</v>
      </c>
      <c r="C2" s="176"/>
      <c r="D2" s="174" t="e" vm="2">
        <f>_xlfn.IMAGE("https://chart.googleapis.com/chart?chs=200x200&amp;&amp;cht=qr&amp;chl=https://www.hasil.gov.my/en/individual/individual-life-cycle/how-to-declare-income/tax-reliefs/")</f>
        <v>#VALUE!</v>
      </c>
    </row>
    <row r="3" spans="1:6" customFormat="1" ht="49.8" customHeight="1" thickBot="1" x14ac:dyDescent="0.35">
      <c r="D3" s="175"/>
    </row>
    <row r="4" spans="1:6" ht="15" thickTop="1" x14ac:dyDescent="0.3">
      <c r="A4" t="s">
        <v>0</v>
      </c>
      <c r="B4" t="s">
        <v>1</v>
      </c>
      <c r="C4" t="s">
        <v>14</v>
      </c>
      <c r="D4" s="145" t="s">
        <v>2</v>
      </c>
      <c r="E4" t="s">
        <v>3</v>
      </c>
      <c r="F4" t="s">
        <v>36</v>
      </c>
    </row>
    <row r="5" spans="1:6" x14ac:dyDescent="0.3">
      <c r="A5">
        <v>1</v>
      </c>
      <c r="B5" t="s">
        <v>4</v>
      </c>
      <c r="C5" t="s">
        <v>15</v>
      </c>
      <c r="D5"/>
      <c r="E5"/>
      <c r="F5" s="135">
        <v>9000</v>
      </c>
    </row>
    <row r="6" spans="1:6" x14ac:dyDescent="0.3">
      <c r="A6">
        <v>2</v>
      </c>
      <c r="B6" t="s">
        <v>5</v>
      </c>
      <c r="C6" t="s">
        <v>55</v>
      </c>
      <c r="D6"/>
      <c r="E6" s="135">
        <v>8000</v>
      </c>
      <c r="F6"/>
    </row>
    <row r="7" spans="1:6" ht="30" customHeight="1" x14ac:dyDescent="0.3">
      <c r="A7">
        <v>3</v>
      </c>
      <c r="B7" s="143" t="s">
        <v>6</v>
      </c>
      <c r="C7" t="s">
        <v>16</v>
      </c>
      <c r="D7"/>
      <c r="E7" s="135">
        <v>6000</v>
      </c>
      <c r="F7"/>
    </row>
    <row r="8" spans="1:6" x14ac:dyDescent="0.3">
      <c r="A8">
        <v>4</v>
      </c>
      <c r="B8" t="s">
        <v>8</v>
      </c>
      <c r="C8" t="s">
        <v>8</v>
      </c>
      <c r="D8"/>
      <c r="E8"/>
      <c r="F8" s="135">
        <v>6000</v>
      </c>
    </row>
    <row r="9" spans="1:6" x14ac:dyDescent="0.3">
      <c r="A9">
        <v>5</v>
      </c>
      <c r="B9" t="s">
        <v>7</v>
      </c>
      <c r="C9" t="s">
        <v>17</v>
      </c>
      <c r="D9"/>
      <c r="E9" s="135">
        <v>7000</v>
      </c>
      <c r="F9"/>
    </row>
    <row r="10" spans="1:6" x14ac:dyDescent="0.3">
      <c r="A10">
        <v>5</v>
      </c>
      <c r="B10" t="s">
        <v>9</v>
      </c>
      <c r="C10" t="s">
        <v>18</v>
      </c>
      <c r="D10" s="135">
        <v>2000</v>
      </c>
      <c r="E10"/>
      <c r="F10"/>
    </row>
    <row r="11" spans="1:6" x14ac:dyDescent="0.3">
      <c r="A11">
        <v>6</v>
      </c>
      <c r="B11" t="s">
        <v>10</v>
      </c>
      <c r="C11" t="s">
        <v>60</v>
      </c>
      <c r="D11"/>
      <c r="E11" s="135">
        <v>10000</v>
      </c>
      <c r="F11"/>
    </row>
    <row r="12" spans="1:6" x14ac:dyDescent="0.3">
      <c r="A12">
        <v>6</v>
      </c>
      <c r="B12" t="s">
        <v>11</v>
      </c>
      <c r="C12" t="s">
        <v>70</v>
      </c>
      <c r="D12" s="135">
        <v>1000</v>
      </c>
      <c r="E12"/>
      <c r="F12"/>
    </row>
    <row r="13" spans="1:6" x14ac:dyDescent="0.3">
      <c r="A13">
        <v>7</v>
      </c>
      <c r="B13" t="s">
        <v>12</v>
      </c>
      <c r="C13" t="s">
        <v>19</v>
      </c>
      <c r="D13" s="135">
        <v>1000</v>
      </c>
      <c r="E13"/>
      <c r="F13"/>
    </row>
    <row r="14" spans="1:6" x14ac:dyDescent="0.3">
      <c r="A14">
        <v>8</v>
      </c>
      <c r="B14" t="s">
        <v>13</v>
      </c>
      <c r="C14" t="s">
        <v>20</v>
      </c>
      <c r="D14" s="135">
        <v>4000</v>
      </c>
      <c r="E14"/>
      <c r="F14"/>
    </row>
    <row r="15" spans="1:6" x14ac:dyDescent="0.3">
      <c r="A15">
        <v>9</v>
      </c>
      <c r="B15" t="s">
        <v>21</v>
      </c>
      <c r="C15" t="s">
        <v>288</v>
      </c>
      <c r="D15"/>
      <c r="E15" s="135">
        <v>2500</v>
      </c>
      <c r="F15"/>
    </row>
    <row r="16" spans="1:6" x14ac:dyDescent="0.3">
      <c r="A16">
        <v>10</v>
      </c>
      <c r="B16" t="s">
        <v>22</v>
      </c>
      <c r="C16" t="s">
        <v>23</v>
      </c>
      <c r="D16"/>
      <c r="E16" s="135">
        <v>500</v>
      </c>
      <c r="F16"/>
    </row>
    <row r="17" spans="1:6" x14ac:dyDescent="0.3">
      <c r="A17">
        <v>11</v>
      </c>
      <c r="B17" t="s">
        <v>24</v>
      </c>
      <c r="C17" t="s">
        <v>27</v>
      </c>
      <c r="D17"/>
      <c r="E17" s="135">
        <v>1000</v>
      </c>
      <c r="F17"/>
    </row>
    <row r="18" spans="1:6" x14ac:dyDescent="0.3">
      <c r="A18">
        <v>12</v>
      </c>
      <c r="B18" t="s">
        <v>25</v>
      </c>
      <c r="C18" t="s">
        <v>26</v>
      </c>
      <c r="D18"/>
      <c r="E18" s="135">
        <v>3000</v>
      </c>
      <c r="F18"/>
    </row>
    <row r="19" spans="1:6" x14ac:dyDescent="0.3">
      <c r="A19">
        <v>13</v>
      </c>
      <c r="B19" t="s">
        <v>28</v>
      </c>
      <c r="C19" t="s">
        <v>29</v>
      </c>
      <c r="D19"/>
      <c r="E19" s="135">
        <v>8000</v>
      </c>
      <c r="F19"/>
    </row>
    <row r="20" spans="1:6" x14ac:dyDescent="0.3">
      <c r="A20">
        <v>14</v>
      </c>
      <c r="B20" t="s">
        <v>30</v>
      </c>
      <c r="C20" t="s">
        <v>31</v>
      </c>
      <c r="D20"/>
      <c r="E20" s="135">
        <v>4000</v>
      </c>
      <c r="F20"/>
    </row>
    <row r="21" spans="1:6" x14ac:dyDescent="0.3">
      <c r="A21">
        <v>15</v>
      </c>
      <c r="B21" t="s">
        <v>32</v>
      </c>
      <c r="C21" t="s">
        <v>32</v>
      </c>
      <c r="D21"/>
      <c r="E21"/>
      <c r="F21" s="135">
        <v>5000</v>
      </c>
    </row>
    <row r="22" spans="1:6" x14ac:dyDescent="0.3">
      <c r="A22" t="s">
        <v>33</v>
      </c>
      <c r="B22" t="s">
        <v>34</v>
      </c>
      <c r="C22" t="s">
        <v>35</v>
      </c>
      <c r="D22"/>
      <c r="E22"/>
      <c r="F22" s="135">
        <v>2000</v>
      </c>
    </row>
    <row r="23" spans="1:6" x14ac:dyDescent="0.3">
      <c r="A23" t="s">
        <v>37</v>
      </c>
      <c r="B23" t="s">
        <v>38</v>
      </c>
      <c r="C23" t="s">
        <v>39</v>
      </c>
      <c r="D23"/>
      <c r="E23"/>
      <c r="F23" s="135">
        <v>2000</v>
      </c>
    </row>
    <row r="24" spans="1:6" x14ac:dyDescent="0.3">
      <c r="A24" t="s">
        <v>37</v>
      </c>
      <c r="B24" t="s">
        <v>40</v>
      </c>
      <c r="C24" t="s">
        <v>40</v>
      </c>
      <c r="D24"/>
      <c r="E24"/>
      <c r="F24" s="135">
        <v>8000</v>
      </c>
    </row>
    <row r="25" spans="1:6" x14ac:dyDescent="0.3">
      <c r="A25" t="s">
        <v>41</v>
      </c>
      <c r="B25" t="s">
        <v>42</v>
      </c>
      <c r="C25" t="s">
        <v>42</v>
      </c>
      <c r="D25"/>
      <c r="E25"/>
      <c r="F25" s="135">
        <v>6000</v>
      </c>
    </row>
    <row r="26" spans="1:6" x14ac:dyDescent="0.3">
      <c r="A26" t="s">
        <v>41</v>
      </c>
      <c r="B26" t="s">
        <v>43</v>
      </c>
      <c r="C26" t="s">
        <v>44</v>
      </c>
      <c r="D26"/>
      <c r="E26"/>
      <c r="F26" s="135">
        <v>8000</v>
      </c>
    </row>
    <row r="27" spans="1:6" x14ac:dyDescent="0.3">
      <c r="A27">
        <v>17</v>
      </c>
      <c r="B27" t="s">
        <v>45</v>
      </c>
      <c r="C27" t="s">
        <v>45</v>
      </c>
      <c r="D27"/>
      <c r="E27" s="135">
        <v>4000</v>
      </c>
      <c r="F27"/>
    </row>
    <row r="28" spans="1:6" x14ac:dyDescent="0.3">
      <c r="A28">
        <v>17</v>
      </c>
      <c r="B28" t="s">
        <v>46</v>
      </c>
      <c r="C28" t="s">
        <v>47</v>
      </c>
      <c r="D28"/>
      <c r="E28" s="135">
        <v>3000</v>
      </c>
      <c r="F28"/>
    </row>
    <row r="29" spans="1:6" x14ac:dyDescent="0.3">
      <c r="A29">
        <v>18</v>
      </c>
      <c r="B29" t="s">
        <v>48</v>
      </c>
      <c r="C29" t="s">
        <v>49</v>
      </c>
      <c r="D29"/>
      <c r="E29" s="135">
        <v>3000</v>
      </c>
      <c r="F29"/>
    </row>
    <row r="30" spans="1:6" x14ac:dyDescent="0.3">
      <c r="A30">
        <v>19</v>
      </c>
      <c r="B30" t="s">
        <v>50</v>
      </c>
      <c r="C30" t="s">
        <v>50</v>
      </c>
      <c r="D30"/>
      <c r="E30" s="135">
        <v>3000</v>
      </c>
      <c r="F30"/>
    </row>
    <row r="31" spans="1:6" x14ac:dyDescent="0.3">
      <c r="A31">
        <v>20</v>
      </c>
      <c r="B31" s="144" t="s">
        <v>51</v>
      </c>
      <c r="C31" t="s">
        <v>52</v>
      </c>
      <c r="D31"/>
      <c r="E31" s="135">
        <v>350</v>
      </c>
      <c r="F31"/>
    </row>
    <row r="32" spans="1:6" x14ac:dyDescent="0.3">
      <c r="A32">
        <v>21</v>
      </c>
      <c r="B32" t="s">
        <v>54</v>
      </c>
      <c r="C32" t="s">
        <v>53</v>
      </c>
      <c r="D32"/>
      <c r="E32" s="135">
        <v>2500</v>
      </c>
      <c r="F32"/>
    </row>
  </sheetData>
  <sheetProtection selectLockedCells="1"/>
  <mergeCells count="2">
    <mergeCell ref="D2:D3"/>
    <mergeCell ref="B2:C2"/>
  </mergeCell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9ECF4-9632-4D93-9A01-2734612786C3}">
  <sheetPr codeName="Sheet9"/>
  <dimension ref="A1:J318"/>
  <sheetViews>
    <sheetView showRowColHeaders="0" workbookViewId="0">
      <pane ySplit="1" topLeftCell="A2" activePane="bottomLeft" state="frozen"/>
      <selection pane="bottomLeft" activeCell="K19" sqref="K19"/>
    </sheetView>
  </sheetViews>
  <sheetFormatPr defaultRowHeight="14.4" x14ac:dyDescent="0.3"/>
  <cols>
    <col min="1" max="1" width="10.5546875" style="135" bestFit="1" customWidth="1"/>
    <col min="2" max="2" width="9.77734375" style="135" bestFit="1" customWidth="1"/>
    <col min="3" max="3" width="28.44140625" style="135" bestFit="1" customWidth="1"/>
    <col min="4" max="4" width="13.21875" style="135" bestFit="1" customWidth="1"/>
    <col min="5" max="5" width="18.5546875" style="135" bestFit="1" customWidth="1"/>
    <col min="6" max="6" width="21.88671875" style="135" bestFit="1" customWidth="1"/>
    <col min="7" max="7" width="8.88671875" style="135"/>
    <col min="8" max="9" width="10.77734375" style="135" bestFit="1" customWidth="1"/>
    <col min="10" max="10" width="58.5546875" style="135" bestFit="1" customWidth="1"/>
    <col min="11" max="16384" width="8.88671875" style="135"/>
  </cols>
  <sheetData>
    <row r="1" spans="1:10" s="129" customFormat="1" ht="40.049999999999997" customHeight="1" thickBot="1" x14ac:dyDescent="0.35"/>
    <row r="2" spans="1:10" ht="15" thickTop="1" x14ac:dyDescent="0.3">
      <c r="A2" s="135" t="s">
        <v>203</v>
      </c>
      <c r="B2" s="135" t="s">
        <v>204</v>
      </c>
      <c r="C2" s="135" t="s">
        <v>205</v>
      </c>
      <c r="D2" s="135" t="s">
        <v>14</v>
      </c>
      <c r="E2" s="135" t="s">
        <v>206</v>
      </c>
      <c r="F2" s="135" t="s">
        <v>207</v>
      </c>
      <c r="G2" s="135" t="s">
        <v>208</v>
      </c>
      <c r="H2" s="137" t="s">
        <v>209</v>
      </c>
      <c r="I2" s="137" t="s">
        <v>56</v>
      </c>
      <c r="J2" s="135" t="s">
        <v>210</v>
      </c>
    </row>
    <row r="3" spans="1:10" x14ac:dyDescent="0.3">
      <c r="A3" s="138">
        <v>44927</v>
      </c>
      <c r="B3" s="135" t="s">
        <v>211</v>
      </c>
      <c r="C3" s="135" t="s">
        <v>212</v>
      </c>
      <c r="D3" s="135" t="s">
        <v>213</v>
      </c>
      <c r="E3" s="135" t="s">
        <v>214</v>
      </c>
      <c r="F3" s="135" t="s">
        <v>215</v>
      </c>
      <c r="G3" s="135">
        <v>1</v>
      </c>
      <c r="H3" s="137">
        <v>9.9</v>
      </c>
      <c r="I3" s="137">
        <v>9.9</v>
      </c>
      <c r="J3" s="135" t="s">
        <v>216</v>
      </c>
    </row>
    <row r="4" spans="1:10" x14ac:dyDescent="0.3">
      <c r="A4" s="138">
        <v>44927</v>
      </c>
      <c r="B4" s="135" t="s">
        <v>211</v>
      </c>
      <c r="C4" s="135" t="s">
        <v>217</v>
      </c>
      <c r="D4" s="135" t="s">
        <v>213</v>
      </c>
      <c r="E4" s="135" t="s">
        <v>218</v>
      </c>
      <c r="F4" s="135" t="s">
        <v>219</v>
      </c>
      <c r="G4" s="135">
        <v>1</v>
      </c>
      <c r="H4" s="137">
        <v>790</v>
      </c>
      <c r="I4" s="137">
        <v>790</v>
      </c>
      <c r="J4" s="135" t="s">
        <v>216</v>
      </c>
    </row>
    <row r="5" spans="1:10" x14ac:dyDescent="0.3">
      <c r="A5" s="138">
        <v>44928</v>
      </c>
      <c r="B5" s="135" t="s">
        <v>211</v>
      </c>
      <c r="C5" s="135" t="s">
        <v>220</v>
      </c>
      <c r="D5" s="135" t="s">
        <v>213</v>
      </c>
      <c r="E5" s="135" t="s">
        <v>221</v>
      </c>
      <c r="F5" s="135" t="s">
        <v>222</v>
      </c>
      <c r="G5" s="135">
        <v>1</v>
      </c>
      <c r="H5" s="137">
        <v>70</v>
      </c>
      <c r="I5" s="137">
        <v>70</v>
      </c>
      <c r="J5" s="135" t="s">
        <v>216</v>
      </c>
    </row>
    <row r="6" spans="1:10" x14ac:dyDescent="0.3">
      <c r="A6" s="138">
        <v>44928</v>
      </c>
      <c r="B6" s="135" t="s">
        <v>211</v>
      </c>
      <c r="C6" s="135" t="s">
        <v>223</v>
      </c>
      <c r="D6" s="135" t="s">
        <v>213</v>
      </c>
      <c r="E6" s="135" t="s">
        <v>224</v>
      </c>
      <c r="F6" s="135" t="s">
        <v>225</v>
      </c>
      <c r="G6" s="135">
        <v>3</v>
      </c>
      <c r="H6" s="137">
        <v>9</v>
      </c>
      <c r="I6" s="137">
        <v>27</v>
      </c>
      <c r="J6" s="135" t="s">
        <v>216</v>
      </c>
    </row>
    <row r="7" spans="1:10" x14ac:dyDescent="0.3">
      <c r="A7" s="138">
        <v>44928</v>
      </c>
      <c r="B7" s="135" t="s">
        <v>211</v>
      </c>
      <c r="C7" s="135" t="s">
        <v>226</v>
      </c>
      <c r="D7" s="135" t="s">
        <v>227</v>
      </c>
      <c r="E7" s="135" t="s">
        <v>228</v>
      </c>
      <c r="F7" s="135" t="s">
        <v>229</v>
      </c>
      <c r="G7" s="135">
        <v>1</v>
      </c>
      <c r="H7" s="137">
        <v>120</v>
      </c>
      <c r="I7" s="137">
        <v>120</v>
      </c>
      <c r="J7" s="135" t="s">
        <v>216</v>
      </c>
    </row>
    <row r="8" spans="1:10" x14ac:dyDescent="0.3">
      <c r="A8" s="138">
        <v>44930</v>
      </c>
      <c r="B8" s="135" t="s">
        <v>211</v>
      </c>
      <c r="C8" s="135" t="s">
        <v>230</v>
      </c>
      <c r="D8" s="135" t="s">
        <v>231</v>
      </c>
      <c r="E8" s="135" t="s">
        <v>232</v>
      </c>
      <c r="F8" s="135" t="s">
        <v>233</v>
      </c>
      <c r="G8" s="135">
        <v>1</v>
      </c>
      <c r="H8" s="137">
        <v>1000</v>
      </c>
      <c r="I8" s="137">
        <v>1000</v>
      </c>
      <c r="J8" s="135" t="s">
        <v>50</v>
      </c>
    </row>
    <row r="9" spans="1:10" x14ac:dyDescent="0.3">
      <c r="A9" s="138">
        <v>44931</v>
      </c>
      <c r="B9" s="135" t="s">
        <v>211</v>
      </c>
      <c r="C9" s="135" t="s">
        <v>234</v>
      </c>
      <c r="D9" s="135" t="s">
        <v>235</v>
      </c>
      <c r="E9" s="135" t="s">
        <v>236</v>
      </c>
      <c r="F9" s="135" t="s">
        <v>237</v>
      </c>
      <c r="G9" s="135">
        <v>1</v>
      </c>
      <c r="H9" s="137">
        <v>1600</v>
      </c>
      <c r="I9" s="137">
        <v>1600</v>
      </c>
      <c r="J9" s="135" t="s">
        <v>216</v>
      </c>
    </row>
    <row r="10" spans="1:10" x14ac:dyDescent="0.3">
      <c r="A10" s="138">
        <v>44934</v>
      </c>
      <c r="B10" s="135" t="s">
        <v>211</v>
      </c>
      <c r="C10" s="135" t="s">
        <v>238</v>
      </c>
      <c r="D10" s="135" t="s">
        <v>239</v>
      </c>
      <c r="E10" s="135" t="s">
        <v>240</v>
      </c>
      <c r="F10" s="135" t="s">
        <v>241</v>
      </c>
      <c r="G10" s="135">
        <v>1</v>
      </c>
      <c r="H10" s="137">
        <v>600</v>
      </c>
      <c r="I10" s="137">
        <v>600</v>
      </c>
      <c r="J10" s="135" t="s">
        <v>26</v>
      </c>
    </row>
    <row r="11" spans="1:10" x14ac:dyDescent="0.3">
      <c r="A11" s="138">
        <v>44935</v>
      </c>
      <c r="B11" s="135" t="s">
        <v>211</v>
      </c>
      <c r="C11" s="135" t="s">
        <v>242</v>
      </c>
      <c r="D11" s="135" t="s">
        <v>243</v>
      </c>
      <c r="E11" s="135" t="s">
        <v>244</v>
      </c>
      <c r="F11" s="135" t="s">
        <v>245</v>
      </c>
      <c r="G11" s="135">
        <v>2</v>
      </c>
      <c r="H11" s="137">
        <v>17</v>
      </c>
      <c r="I11" s="137">
        <v>34</v>
      </c>
      <c r="J11" s="135" t="s">
        <v>216</v>
      </c>
    </row>
    <row r="12" spans="1:10" x14ac:dyDescent="0.3">
      <c r="A12" s="138">
        <v>44935</v>
      </c>
      <c r="B12" s="135" t="s">
        <v>211</v>
      </c>
      <c r="C12" s="135" t="s">
        <v>246</v>
      </c>
      <c r="D12" s="135" t="s">
        <v>213</v>
      </c>
      <c r="E12" s="135" t="s">
        <v>224</v>
      </c>
      <c r="F12" s="135" t="s">
        <v>245</v>
      </c>
      <c r="G12" s="135">
        <v>2</v>
      </c>
      <c r="H12" s="137">
        <v>2</v>
      </c>
      <c r="I12" s="137">
        <v>4</v>
      </c>
      <c r="J12" s="135" t="s">
        <v>216</v>
      </c>
    </row>
    <row r="13" spans="1:10" x14ac:dyDescent="0.3">
      <c r="A13" s="138">
        <v>44936</v>
      </c>
      <c r="B13" s="135" t="s">
        <v>211</v>
      </c>
      <c r="C13" s="135" t="s">
        <v>247</v>
      </c>
      <c r="D13" s="135" t="s">
        <v>213</v>
      </c>
      <c r="E13" s="135" t="s">
        <v>214</v>
      </c>
      <c r="F13" s="135" t="s">
        <v>248</v>
      </c>
      <c r="G13" s="135">
        <v>3</v>
      </c>
      <c r="H13" s="137">
        <v>15</v>
      </c>
      <c r="I13" s="137">
        <v>45</v>
      </c>
      <c r="J13" s="135" t="s">
        <v>216</v>
      </c>
    </row>
    <row r="14" spans="1:10" x14ac:dyDescent="0.3">
      <c r="A14" s="138">
        <v>44936</v>
      </c>
      <c r="B14" s="135" t="s">
        <v>211</v>
      </c>
      <c r="C14" s="135" t="s">
        <v>249</v>
      </c>
      <c r="D14" s="135" t="s">
        <v>213</v>
      </c>
      <c r="E14" s="135" t="s">
        <v>224</v>
      </c>
      <c r="F14" s="135" t="s">
        <v>250</v>
      </c>
      <c r="G14" s="135">
        <v>3</v>
      </c>
      <c r="H14" s="137">
        <v>6</v>
      </c>
      <c r="I14" s="137">
        <v>18</v>
      </c>
      <c r="J14" s="135" t="s">
        <v>216</v>
      </c>
    </row>
    <row r="15" spans="1:10" x14ac:dyDescent="0.3">
      <c r="A15" s="138">
        <v>44936</v>
      </c>
      <c r="B15" s="135" t="s">
        <v>211</v>
      </c>
      <c r="C15" s="135" t="s">
        <v>253</v>
      </c>
      <c r="D15" s="135" t="s">
        <v>254</v>
      </c>
      <c r="E15" s="135" t="s">
        <v>255</v>
      </c>
      <c r="F15" s="135" t="s">
        <v>45</v>
      </c>
      <c r="G15" s="135">
        <v>1</v>
      </c>
      <c r="H15" s="137">
        <v>1100</v>
      </c>
      <c r="I15" s="137">
        <v>1100</v>
      </c>
      <c r="J15" s="135" t="s">
        <v>45</v>
      </c>
    </row>
    <row r="16" spans="1:10" x14ac:dyDescent="0.3">
      <c r="A16" s="138">
        <v>44936</v>
      </c>
      <c r="B16" s="135" t="s">
        <v>211</v>
      </c>
      <c r="C16" s="135" t="s">
        <v>251</v>
      </c>
      <c r="D16" s="135" t="s">
        <v>213</v>
      </c>
      <c r="E16" s="135" t="s">
        <v>221</v>
      </c>
      <c r="F16" s="135" t="s">
        <v>252</v>
      </c>
      <c r="G16" s="135">
        <v>3</v>
      </c>
      <c r="H16" s="137">
        <v>35</v>
      </c>
      <c r="I16" s="137">
        <v>105</v>
      </c>
      <c r="J16" s="135" t="s">
        <v>216</v>
      </c>
    </row>
    <row r="17" spans="1:10" x14ac:dyDescent="0.3">
      <c r="A17" s="138">
        <v>44936</v>
      </c>
      <c r="B17" s="135" t="s">
        <v>211</v>
      </c>
      <c r="C17" s="135" t="s">
        <v>256</v>
      </c>
      <c r="D17" s="135" t="s">
        <v>254</v>
      </c>
      <c r="E17" s="135" t="s">
        <v>257</v>
      </c>
      <c r="F17" s="135" t="s">
        <v>258</v>
      </c>
      <c r="G17" s="135">
        <v>1</v>
      </c>
      <c r="H17" s="137">
        <v>100</v>
      </c>
      <c r="I17" s="137">
        <v>100</v>
      </c>
      <c r="J17" s="135" t="s">
        <v>52</v>
      </c>
    </row>
    <row r="18" spans="1:10" x14ac:dyDescent="0.3">
      <c r="A18" s="138">
        <v>44941</v>
      </c>
      <c r="B18" s="135" t="s">
        <v>211</v>
      </c>
      <c r="C18" s="135" t="s">
        <v>217</v>
      </c>
      <c r="D18" s="135" t="s">
        <v>213</v>
      </c>
      <c r="E18" s="135" t="s">
        <v>218</v>
      </c>
      <c r="F18" s="135" t="s">
        <v>219</v>
      </c>
      <c r="G18" s="135">
        <v>1</v>
      </c>
      <c r="H18" s="137">
        <v>755</v>
      </c>
      <c r="I18" s="137">
        <v>755</v>
      </c>
      <c r="J18" s="135" t="s">
        <v>216</v>
      </c>
    </row>
    <row r="19" spans="1:10" x14ac:dyDescent="0.3">
      <c r="A19" s="138">
        <v>44941</v>
      </c>
      <c r="B19" s="135" t="s">
        <v>211</v>
      </c>
      <c r="C19" s="135" t="s">
        <v>259</v>
      </c>
      <c r="D19" s="135" t="s">
        <v>260</v>
      </c>
      <c r="E19" s="135" t="s">
        <v>261</v>
      </c>
      <c r="F19" s="135" t="s">
        <v>262</v>
      </c>
      <c r="G19" s="135">
        <v>1</v>
      </c>
      <c r="H19" s="137">
        <v>30</v>
      </c>
      <c r="I19" s="137">
        <v>30</v>
      </c>
      <c r="J19" s="135" t="s">
        <v>216</v>
      </c>
    </row>
    <row r="20" spans="1:10" x14ac:dyDescent="0.3">
      <c r="A20" s="138">
        <v>44943</v>
      </c>
      <c r="B20" s="135" t="s">
        <v>211</v>
      </c>
      <c r="C20" s="135" t="s">
        <v>47</v>
      </c>
      <c r="D20" s="135" t="s">
        <v>231</v>
      </c>
      <c r="E20" s="135" t="s">
        <v>265</v>
      </c>
      <c r="F20" s="135" t="s">
        <v>233</v>
      </c>
      <c r="G20" s="135">
        <v>1</v>
      </c>
      <c r="H20" s="137">
        <v>3500</v>
      </c>
      <c r="I20" s="137">
        <v>3500</v>
      </c>
      <c r="J20" s="135" t="s">
        <v>47</v>
      </c>
    </row>
    <row r="21" spans="1:10" x14ac:dyDescent="0.3">
      <c r="A21" s="138">
        <v>44943</v>
      </c>
      <c r="B21" s="135" t="s">
        <v>211</v>
      </c>
      <c r="C21" s="135" t="s">
        <v>263</v>
      </c>
      <c r="D21" s="135" t="s">
        <v>239</v>
      </c>
      <c r="E21" s="135" t="s">
        <v>254</v>
      </c>
      <c r="F21" s="135" t="s">
        <v>264</v>
      </c>
      <c r="G21" s="135">
        <v>1</v>
      </c>
      <c r="H21" s="137">
        <v>5000</v>
      </c>
      <c r="I21" s="137">
        <v>5000</v>
      </c>
      <c r="J21" s="135" t="s">
        <v>29</v>
      </c>
    </row>
    <row r="22" spans="1:10" x14ac:dyDescent="0.3">
      <c r="A22" s="138">
        <v>44944</v>
      </c>
      <c r="B22" s="135" t="s">
        <v>211</v>
      </c>
      <c r="C22" s="135" t="s">
        <v>266</v>
      </c>
      <c r="D22" s="135" t="s">
        <v>231</v>
      </c>
      <c r="E22" s="135" t="s">
        <v>239</v>
      </c>
      <c r="F22" s="135" t="s">
        <v>233</v>
      </c>
      <c r="G22" s="135">
        <v>1</v>
      </c>
      <c r="H22" s="137">
        <v>600</v>
      </c>
      <c r="I22" s="137">
        <v>600</v>
      </c>
      <c r="J22" s="135" t="s">
        <v>50</v>
      </c>
    </row>
    <row r="23" spans="1:10" x14ac:dyDescent="0.3">
      <c r="A23" s="138">
        <v>44946</v>
      </c>
      <c r="B23" s="135" t="s">
        <v>211</v>
      </c>
      <c r="C23" s="135" t="s">
        <v>267</v>
      </c>
      <c r="D23" s="135" t="s">
        <v>227</v>
      </c>
      <c r="E23" s="135" t="s">
        <v>268</v>
      </c>
      <c r="F23" s="135" t="s">
        <v>237</v>
      </c>
      <c r="G23" s="135">
        <v>1</v>
      </c>
      <c r="H23" s="137">
        <v>1200</v>
      </c>
      <c r="I23" s="137">
        <v>1200</v>
      </c>
      <c r="J23" s="135" t="s">
        <v>216</v>
      </c>
    </row>
    <row r="24" spans="1:10" x14ac:dyDescent="0.3">
      <c r="A24" s="138">
        <v>44949</v>
      </c>
      <c r="B24" s="135" t="s">
        <v>211</v>
      </c>
      <c r="C24" s="135" t="s">
        <v>269</v>
      </c>
      <c r="D24" s="135" t="s">
        <v>243</v>
      </c>
      <c r="E24" s="135" t="s">
        <v>270</v>
      </c>
      <c r="F24" s="135" t="s">
        <v>271</v>
      </c>
      <c r="G24" s="135">
        <v>2</v>
      </c>
      <c r="H24" s="137">
        <v>200</v>
      </c>
      <c r="I24" s="137">
        <v>400</v>
      </c>
      <c r="J24" s="135" t="s">
        <v>216</v>
      </c>
    </row>
    <row r="25" spans="1:10" x14ac:dyDescent="0.3">
      <c r="A25" s="138">
        <v>44949</v>
      </c>
      <c r="B25" s="135" t="s">
        <v>211</v>
      </c>
      <c r="C25" s="135" t="s">
        <v>272</v>
      </c>
      <c r="D25" s="135" t="s">
        <v>227</v>
      </c>
      <c r="E25" s="135" t="s">
        <v>273</v>
      </c>
      <c r="F25" s="135" t="s">
        <v>274</v>
      </c>
      <c r="G25" s="135">
        <v>3</v>
      </c>
      <c r="H25" s="137">
        <v>5</v>
      </c>
      <c r="I25" s="137">
        <v>15</v>
      </c>
      <c r="J25" s="135" t="s">
        <v>216</v>
      </c>
    </row>
    <row r="26" spans="1:10" x14ac:dyDescent="0.3">
      <c r="A26" s="138">
        <v>44950</v>
      </c>
      <c r="B26" s="135" t="s">
        <v>211</v>
      </c>
      <c r="C26" s="135" t="s">
        <v>275</v>
      </c>
      <c r="D26" s="135" t="s">
        <v>213</v>
      </c>
      <c r="E26" s="135" t="s">
        <v>224</v>
      </c>
      <c r="F26" s="135" t="s">
        <v>219</v>
      </c>
      <c r="G26" s="135">
        <v>3</v>
      </c>
      <c r="H26" s="137">
        <v>3</v>
      </c>
      <c r="I26" s="137">
        <v>9</v>
      </c>
      <c r="J26" s="135" t="s">
        <v>216</v>
      </c>
    </row>
    <row r="27" spans="1:10" x14ac:dyDescent="0.3">
      <c r="A27" s="138">
        <v>44950</v>
      </c>
      <c r="B27" s="135" t="s">
        <v>211</v>
      </c>
      <c r="C27" s="135" t="s">
        <v>276</v>
      </c>
      <c r="D27" s="135" t="s">
        <v>213</v>
      </c>
      <c r="E27" s="135" t="s">
        <v>214</v>
      </c>
      <c r="F27" s="135" t="s">
        <v>277</v>
      </c>
      <c r="G27" s="135">
        <v>1</v>
      </c>
      <c r="H27" s="137">
        <v>6.5</v>
      </c>
      <c r="I27" s="137">
        <v>6.5</v>
      </c>
      <c r="J27" s="135" t="s">
        <v>216</v>
      </c>
    </row>
    <row r="28" spans="1:10" x14ac:dyDescent="0.3">
      <c r="A28" s="138">
        <v>44950</v>
      </c>
      <c r="B28" s="135" t="s">
        <v>211</v>
      </c>
      <c r="C28" s="135" t="s">
        <v>280</v>
      </c>
      <c r="D28" s="135" t="s">
        <v>254</v>
      </c>
      <c r="E28" s="135" t="s">
        <v>255</v>
      </c>
      <c r="F28" s="135" t="s">
        <v>281</v>
      </c>
      <c r="G28" s="135">
        <v>1</v>
      </c>
      <c r="H28" s="137">
        <v>500</v>
      </c>
      <c r="I28" s="137">
        <v>500</v>
      </c>
      <c r="J28" s="135" t="s">
        <v>49</v>
      </c>
    </row>
    <row r="29" spans="1:10" x14ac:dyDescent="0.3">
      <c r="A29" s="138">
        <v>44950</v>
      </c>
      <c r="B29" s="135" t="s">
        <v>211</v>
      </c>
      <c r="C29" s="135" t="s">
        <v>278</v>
      </c>
      <c r="D29" s="135" t="s">
        <v>213</v>
      </c>
      <c r="E29" s="135" t="s">
        <v>221</v>
      </c>
      <c r="F29" s="135" t="s">
        <v>279</v>
      </c>
      <c r="G29" s="135">
        <v>1</v>
      </c>
      <c r="H29" s="137">
        <v>100</v>
      </c>
      <c r="I29" s="137">
        <v>100</v>
      </c>
      <c r="J29" s="135" t="s">
        <v>216</v>
      </c>
    </row>
    <row r="30" spans="1:10" x14ac:dyDescent="0.3">
      <c r="A30" s="138">
        <v>44951</v>
      </c>
      <c r="B30" s="135" t="s">
        <v>211</v>
      </c>
      <c r="C30" s="135" t="s">
        <v>282</v>
      </c>
      <c r="D30" s="135" t="s">
        <v>260</v>
      </c>
      <c r="E30" s="135" t="s">
        <v>283</v>
      </c>
      <c r="F30" s="135" t="s">
        <v>284</v>
      </c>
      <c r="G30" s="135">
        <v>1</v>
      </c>
      <c r="H30" s="137">
        <v>84.5</v>
      </c>
      <c r="I30" s="137">
        <v>84.5</v>
      </c>
      <c r="J30" s="135" t="s">
        <v>216</v>
      </c>
    </row>
    <row r="31" spans="1:10" x14ac:dyDescent="0.3">
      <c r="A31" s="138">
        <v>44952</v>
      </c>
      <c r="B31" s="135" t="s">
        <v>211</v>
      </c>
      <c r="C31" s="135" t="s">
        <v>285</v>
      </c>
      <c r="D31" s="135" t="s">
        <v>260</v>
      </c>
      <c r="E31" s="135" t="s">
        <v>286</v>
      </c>
      <c r="F31" s="135" t="s">
        <v>287</v>
      </c>
      <c r="G31" s="135">
        <v>1</v>
      </c>
      <c r="H31" s="137">
        <v>100</v>
      </c>
      <c r="I31" s="137">
        <v>100</v>
      </c>
      <c r="J31" s="135" t="s">
        <v>288</v>
      </c>
    </row>
    <row r="32" spans="1:10" x14ac:dyDescent="0.3">
      <c r="A32" s="138">
        <v>44958</v>
      </c>
      <c r="B32" s="135" t="s">
        <v>289</v>
      </c>
      <c r="C32" s="135" t="s">
        <v>217</v>
      </c>
      <c r="D32" s="135" t="s">
        <v>213</v>
      </c>
      <c r="E32" s="135" t="s">
        <v>218</v>
      </c>
      <c r="F32" s="135" t="s">
        <v>219</v>
      </c>
      <c r="G32" s="135">
        <v>1</v>
      </c>
      <c r="H32" s="137">
        <v>778</v>
      </c>
      <c r="I32" s="137">
        <v>778</v>
      </c>
      <c r="J32" s="135" t="s">
        <v>216</v>
      </c>
    </row>
    <row r="33" spans="1:10" x14ac:dyDescent="0.3">
      <c r="A33" s="138">
        <v>44961</v>
      </c>
      <c r="B33" s="135" t="s">
        <v>289</v>
      </c>
      <c r="C33" s="135" t="s">
        <v>290</v>
      </c>
      <c r="D33" s="135" t="s">
        <v>213</v>
      </c>
      <c r="E33" s="135" t="s">
        <v>214</v>
      </c>
      <c r="F33" s="135" t="s">
        <v>291</v>
      </c>
      <c r="G33" s="135">
        <v>2</v>
      </c>
      <c r="H33" s="137">
        <v>6</v>
      </c>
      <c r="I33" s="137">
        <v>12</v>
      </c>
      <c r="J33" s="135" t="s">
        <v>216</v>
      </c>
    </row>
    <row r="34" spans="1:10" x14ac:dyDescent="0.3">
      <c r="A34" s="138">
        <v>44961</v>
      </c>
      <c r="B34" s="135" t="s">
        <v>289</v>
      </c>
      <c r="C34" s="135" t="s">
        <v>292</v>
      </c>
      <c r="D34" s="135" t="s">
        <v>213</v>
      </c>
      <c r="E34" s="135" t="s">
        <v>221</v>
      </c>
      <c r="F34" s="135" t="s">
        <v>293</v>
      </c>
      <c r="G34" s="135">
        <v>3</v>
      </c>
      <c r="H34" s="137">
        <v>3</v>
      </c>
      <c r="I34" s="137">
        <v>9</v>
      </c>
      <c r="J34" s="135" t="s">
        <v>216</v>
      </c>
    </row>
    <row r="35" spans="1:10" x14ac:dyDescent="0.3">
      <c r="A35" s="138">
        <v>44961</v>
      </c>
      <c r="B35" s="135" t="s">
        <v>289</v>
      </c>
      <c r="C35" s="135" t="s">
        <v>294</v>
      </c>
      <c r="D35" s="135" t="s">
        <v>213</v>
      </c>
      <c r="E35" s="135" t="s">
        <v>224</v>
      </c>
      <c r="F35" s="135" t="s">
        <v>295</v>
      </c>
      <c r="G35" s="135">
        <v>2</v>
      </c>
      <c r="H35" s="137">
        <v>8</v>
      </c>
      <c r="I35" s="137">
        <v>16</v>
      </c>
      <c r="J35" s="135" t="s">
        <v>216</v>
      </c>
    </row>
    <row r="36" spans="1:10" x14ac:dyDescent="0.3">
      <c r="A36" s="138">
        <v>44962</v>
      </c>
      <c r="B36" s="135" t="s">
        <v>289</v>
      </c>
      <c r="C36" s="135" t="s">
        <v>234</v>
      </c>
      <c r="D36" s="135" t="s">
        <v>235</v>
      </c>
      <c r="E36" s="135" t="s">
        <v>236</v>
      </c>
      <c r="F36" s="135" t="s">
        <v>237</v>
      </c>
      <c r="G36" s="135">
        <v>1</v>
      </c>
      <c r="H36" s="137">
        <v>1600</v>
      </c>
      <c r="I36" s="137">
        <v>1600</v>
      </c>
      <c r="J36" s="135" t="s">
        <v>216</v>
      </c>
    </row>
    <row r="37" spans="1:10" x14ac:dyDescent="0.3">
      <c r="A37" s="138">
        <v>44963</v>
      </c>
      <c r="B37" s="135" t="s">
        <v>289</v>
      </c>
      <c r="C37" s="135" t="s">
        <v>296</v>
      </c>
      <c r="D37" s="135" t="s">
        <v>243</v>
      </c>
      <c r="E37" s="135" t="s">
        <v>244</v>
      </c>
      <c r="F37" s="135" t="s">
        <v>245</v>
      </c>
      <c r="G37" s="135">
        <v>3</v>
      </c>
      <c r="H37" s="137">
        <v>17</v>
      </c>
      <c r="I37" s="137">
        <v>51</v>
      </c>
      <c r="J37" s="135" t="s">
        <v>216</v>
      </c>
    </row>
    <row r="38" spans="1:10" x14ac:dyDescent="0.3">
      <c r="A38" s="138">
        <v>44964</v>
      </c>
      <c r="B38" s="135" t="s">
        <v>289</v>
      </c>
      <c r="C38" s="135" t="s">
        <v>297</v>
      </c>
      <c r="D38" s="135" t="s">
        <v>298</v>
      </c>
      <c r="E38" s="135" t="s">
        <v>299</v>
      </c>
      <c r="F38" s="135" t="s">
        <v>300</v>
      </c>
      <c r="G38" s="135">
        <v>1</v>
      </c>
      <c r="H38" s="137">
        <v>5000</v>
      </c>
      <c r="I38" s="137">
        <v>5000</v>
      </c>
      <c r="J38" s="135" t="s">
        <v>288</v>
      </c>
    </row>
    <row r="39" spans="1:10" x14ac:dyDescent="0.3">
      <c r="A39" s="138">
        <v>44965</v>
      </c>
      <c r="B39" s="135" t="s">
        <v>289</v>
      </c>
      <c r="C39" s="135" t="s">
        <v>238</v>
      </c>
      <c r="D39" s="135" t="s">
        <v>239</v>
      </c>
      <c r="E39" s="135" t="s">
        <v>240</v>
      </c>
      <c r="F39" s="135" t="s">
        <v>241</v>
      </c>
      <c r="G39" s="135">
        <v>1</v>
      </c>
      <c r="H39" s="137">
        <v>600</v>
      </c>
      <c r="I39" s="137">
        <v>600</v>
      </c>
      <c r="J39" s="135" t="s">
        <v>26</v>
      </c>
    </row>
    <row r="40" spans="1:10" x14ac:dyDescent="0.3">
      <c r="A40" s="138">
        <v>44965</v>
      </c>
      <c r="B40" s="135" t="s">
        <v>289</v>
      </c>
      <c r="C40" s="135" t="s">
        <v>226</v>
      </c>
      <c r="D40" s="135" t="s">
        <v>227</v>
      </c>
      <c r="E40" s="135" t="s">
        <v>228</v>
      </c>
      <c r="F40" s="135" t="s">
        <v>229</v>
      </c>
      <c r="G40" s="135">
        <v>1</v>
      </c>
      <c r="H40" s="137">
        <v>120</v>
      </c>
      <c r="I40" s="137">
        <v>120</v>
      </c>
      <c r="J40" s="135" t="s">
        <v>216</v>
      </c>
    </row>
    <row r="41" spans="1:10" x14ac:dyDescent="0.3">
      <c r="A41" s="138">
        <v>44967</v>
      </c>
      <c r="B41" s="135" t="s">
        <v>289</v>
      </c>
      <c r="C41" s="135" t="s">
        <v>253</v>
      </c>
      <c r="D41" s="135" t="s">
        <v>254</v>
      </c>
      <c r="E41" s="135" t="s">
        <v>255</v>
      </c>
      <c r="F41" s="135" t="s">
        <v>45</v>
      </c>
      <c r="G41" s="135">
        <v>1</v>
      </c>
      <c r="H41" s="137">
        <v>1100</v>
      </c>
      <c r="I41" s="137">
        <v>1100</v>
      </c>
      <c r="J41" s="135" t="s">
        <v>45</v>
      </c>
    </row>
    <row r="42" spans="1:10" x14ac:dyDescent="0.3">
      <c r="A42" s="138">
        <v>44967</v>
      </c>
      <c r="B42" s="135" t="s">
        <v>289</v>
      </c>
      <c r="C42" s="135" t="s">
        <v>301</v>
      </c>
      <c r="D42" s="135" t="s">
        <v>227</v>
      </c>
      <c r="E42" s="135" t="s">
        <v>228</v>
      </c>
      <c r="F42" s="135" t="s">
        <v>302</v>
      </c>
      <c r="G42" s="135">
        <v>1</v>
      </c>
      <c r="H42" s="137">
        <v>5</v>
      </c>
      <c r="I42" s="137">
        <v>5</v>
      </c>
      <c r="J42" s="135" t="s">
        <v>216</v>
      </c>
    </row>
    <row r="43" spans="1:10" x14ac:dyDescent="0.3">
      <c r="A43" s="138">
        <v>44967</v>
      </c>
      <c r="B43" s="135" t="s">
        <v>289</v>
      </c>
      <c r="C43" s="135" t="s">
        <v>256</v>
      </c>
      <c r="D43" s="135" t="s">
        <v>254</v>
      </c>
      <c r="E43" s="135" t="s">
        <v>257</v>
      </c>
      <c r="F43" s="135" t="s">
        <v>258</v>
      </c>
      <c r="G43" s="135">
        <v>1</v>
      </c>
      <c r="H43" s="137">
        <v>100</v>
      </c>
      <c r="I43" s="137">
        <v>100</v>
      </c>
      <c r="J43" s="135" t="s">
        <v>52</v>
      </c>
    </row>
    <row r="44" spans="1:10" x14ac:dyDescent="0.3">
      <c r="A44" s="138">
        <v>44968</v>
      </c>
      <c r="B44" s="135" t="s">
        <v>289</v>
      </c>
      <c r="C44" s="135" t="s">
        <v>303</v>
      </c>
      <c r="D44" s="135" t="s">
        <v>213</v>
      </c>
      <c r="E44" s="135" t="s">
        <v>224</v>
      </c>
      <c r="F44" s="135" t="s">
        <v>304</v>
      </c>
      <c r="G44" s="135">
        <v>2</v>
      </c>
      <c r="H44" s="137">
        <v>6</v>
      </c>
      <c r="I44" s="137">
        <v>12</v>
      </c>
      <c r="J44" s="135" t="s">
        <v>216</v>
      </c>
    </row>
    <row r="45" spans="1:10" x14ac:dyDescent="0.3">
      <c r="A45" s="138">
        <v>44968</v>
      </c>
      <c r="B45" s="135" t="s">
        <v>289</v>
      </c>
      <c r="C45" s="135" t="s">
        <v>305</v>
      </c>
      <c r="D45" s="135" t="s">
        <v>213</v>
      </c>
      <c r="E45" s="135" t="s">
        <v>214</v>
      </c>
      <c r="F45" s="135" t="s">
        <v>306</v>
      </c>
      <c r="G45" s="135">
        <v>3</v>
      </c>
      <c r="H45" s="137">
        <v>4</v>
      </c>
      <c r="I45" s="137">
        <v>12</v>
      </c>
      <c r="J45" s="135" t="s">
        <v>216</v>
      </c>
    </row>
    <row r="46" spans="1:10" x14ac:dyDescent="0.3">
      <c r="A46" s="138">
        <v>44968</v>
      </c>
      <c r="B46" s="135" t="s">
        <v>289</v>
      </c>
      <c r="C46" s="135" t="s">
        <v>307</v>
      </c>
      <c r="D46" s="135" t="s">
        <v>213</v>
      </c>
      <c r="E46" s="135" t="s">
        <v>308</v>
      </c>
      <c r="F46" s="135" t="s">
        <v>309</v>
      </c>
      <c r="G46" s="135">
        <v>1</v>
      </c>
      <c r="H46" s="137">
        <v>50</v>
      </c>
      <c r="I46" s="137">
        <v>50</v>
      </c>
      <c r="J46" s="135" t="s">
        <v>216</v>
      </c>
    </row>
    <row r="47" spans="1:10" x14ac:dyDescent="0.3">
      <c r="A47" s="138">
        <v>44972</v>
      </c>
      <c r="B47" s="135" t="s">
        <v>289</v>
      </c>
      <c r="C47" s="135" t="s">
        <v>217</v>
      </c>
      <c r="D47" s="135" t="s">
        <v>213</v>
      </c>
      <c r="E47" s="135" t="s">
        <v>218</v>
      </c>
      <c r="F47" s="135" t="s">
        <v>219</v>
      </c>
      <c r="G47" s="135">
        <v>1</v>
      </c>
      <c r="H47" s="137">
        <v>750</v>
      </c>
      <c r="I47" s="137">
        <v>750</v>
      </c>
      <c r="J47" s="135" t="s">
        <v>216</v>
      </c>
    </row>
    <row r="48" spans="1:10" x14ac:dyDescent="0.3">
      <c r="A48" s="138">
        <v>44972</v>
      </c>
      <c r="B48" s="135" t="s">
        <v>289</v>
      </c>
      <c r="C48" s="135" t="s">
        <v>259</v>
      </c>
      <c r="D48" s="135" t="s">
        <v>260</v>
      </c>
      <c r="E48" s="135" t="s">
        <v>261</v>
      </c>
      <c r="F48" s="135" t="s">
        <v>262</v>
      </c>
      <c r="G48" s="135">
        <v>1</v>
      </c>
      <c r="H48" s="137">
        <v>20</v>
      </c>
      <c r="I48" s="137">
        <v>20</v>
      </c>
      <c r="J48" s="135" t="s">
        <v>216</v>
      </c>
    </row>
    <row r="49" spans="1:10" x14ac:dyDescent="0.3">
      <c r="A49" s="138">
        <v>44975</v>
      </c>
      <c r="B49" s="135" t="s">
        <v>289</v>
      </c>
      <c r="C49" s="135" t="s">
        <v>247</v>
      </c>
      <c r="D49" s="135" t="s">
        <v>213</v>
      </c>
      <c r="E49" s="135" t="s">
        <v>214</v>
      </c>
      <c r="F49" s="135" t="s">
        <v>310</v>
      </c>
      <c r="G49" s="135">
        <v>1</v>
      </c>
      <c r="H49" s="137">
        <v>16.5</v>
      </c>
      <c r="I49" s="137">
        <v>16.5</v>
      </c>
      <c r="J49" s="135" t="s">
        <v>216</v>
      </c>
    </row>
    <row r="50" spans="1:10" x14ac:dyDescent="0.3">
      <c r="A50" s="138">
        <v>44975</v>
      </c>
      <c r="B50" s="135" t="s">
        <v>289</v>
      </c>
      <c r="C50" s="135" t="s">
        <v>311</v>
      </c>
      <c r="D50" s="135" t="s">
        <v>213</v>
      </c>
      <c r="E50" s="135" t="s">
        <v>224</v>
      </c>
      <c r="F50" s="135" t="s">
        <v>312</v>
      </c>
      <c r="G50" s="135">
        <v>3</v>
      </c>
      <c r="H50" s="137">
        <v>10</v>
      </c>
      <c r="I50" s="137">
        <v>30</v>
      </c>
      <c r="J50" s="135" t="s">
        <v>216</v>
      </c>
    </row>
    <row r="51" spans="1:10" x14ac:dyDescent="0.3">
      <c r="A51" s="138">
        <v>44975</v>
      </c>
      <c r="B51" s="135" t="s">
        <v>289</v>
      </c>
      <c r="C51" s="135" t="s">
        <v>313</v>
      </c>
      <c r="D51" s="135" t="s">
        <v>213</v>
      </c>
      <c r="E51" s="135" t="s">
        <v>224</v>
      </c>
      <c r="F51" s="135" t="s">
        <v>312</v>
      </c>
      <c r="G51" s="135">
        <v>2</v>
      </c>
      <c r="H51" s="137">
        <v>3</v>
      </c>
      <c r="I51" s="137">
        <v>6</v>
      </c>
      <c r="J51" s="135" t="s">
        <v>216</v>
      </c>
    </row>
    <row r="52" spans="1:10" x14ac:dyDescent="0.3">
      <c r="A52" s="138">
        <v>44977</v>
      </c>
      <c r="B52" s="135" t="s">
        <v>289</v>
      </c>
      <c r="C52" s="135" t="s">
        <v>267</v>
      </c>
      <c r="D52" s="135" t="s">
        <v>227</v>
      </c>
      <c r="E52" s="135" t="s">
        <v>268</v>
      </c>
      <c r="F52" s="135" t="s">
        <v>237</v>
      </c>
      <c r="G52" s="135">
        <v>1</v>
      </c>
      <c r="H52" s="137">
        <v>1200</v>
      </c>
      <c r="I52" s="137">
        <v>1200</v>
      </c>
      <c r="J52" s="135" t="s">
        <v>216</v>
      </c>
    </row>
    <row r="53" spans="1:10" x14ac:dyDescent="0.3">
      <c r="A53" s="138">
        <v>44977</v>
      </c>
      <c r="B53" s="135" t="s">
        <v>289</v>
      </c>
      <c r="C53" s="135" t="s">
        <v>314</v>
      </c>
      <c r="D53" s="135" t="s">
        <v>298</v>
      </c>
      <c r="E53" s="135" t="s">
        <v>315</v>
      </c>
      <c r="F53" s="135" t="s">
        <v>316</v>
      </c>
      <c r="G53" s="135">
        <v>1</v>
      </c>
      <c r="H53" s="137">
        <v>2000</v>
      </c>
      <c r="I53" s="137">
        <v>2000</v>
      </c>
      <c r="J53" s="135" t="s">
        <v>216</v>
      </c>
    </row>
    <row r="54" spans="1:10" x14ac:dyDescent="0.3">
      <c r="A54" s="138">
        <v>44979</v>
      </c>
      <c r="B54" s="135" t="s">
        <v>289</v>
      </c>
      <c r="C54" s="135" t="s">
        <v>226</v>
      </c>
      <c r="D54" s="135" t="s">
        <v>227</v>
      </c>
      <c r="E54" s="135" t="s">
        <v>228</v>
      </c>
      <c r="F54" s="135" t="s">
        <v>229</v>
      </c>
      <c r="G54" s="135">
        <v>1</v>
      </c>
      <c r="H54" s="137">
        <v>100</v>
      </c>
      <c r="I54" s="137">
        <v>100</v>
      </c>
      <c r="J54" s="135" t="s">
        <v>216</v>
      </c>
    </row>
    <row r="55" spans="1:10" x14ac:dyDescent="0.3">
      <c r="A55" s="138">
        <v>44981</v>
      </c>
      <c r="B55" s="135" t="s">
        <v>289</v>
      </c>
      <c r="C55" s="135" t="s">
        <v>280</v>
      </c>
      <c r="D55" s="135" t="s">
        <v>254</v>
      </c>
      <c r="E55" s="135" t="s">
        <v>255</v>
      </c>
      <c r="F55" s="135" t="s">
        <v>281</v>
      </c>
      <c r="G55" s="135">
        <v>1</v>
      </c>
      <c r="H55" s="137">
        <v>500</v>
      </c>
      <c r="I55" s="137">
        <v>500</v>
      </c>
      <c r="J55" s="135" t="s">
        <v>49</v>
      </c>
    </row>
    <row r="56" spans="1:10" x14ac:dyDescent="0.3">
      <c r="A56" s="138">
        <v>44982</v>
      </c>
      <c r="B56" s="135" t="s">
        <v>289</v>
      </c>
      <c r="C56" s="135" t="s">
        <v>282</v>
      </c>
      <c r="D56" s="135" t="s">
        <v>260</v>
      </c>
      <c r="E56" s="135" t="s">
        <v>283</v>
      </c>
      <c r="F56" s="135" t="s">
        <v>284</v>
      </c>
      <c r="G56" s="135">
        <v>1</v>
      </c>
      <c r="H56" s="137">
        <v>80</v>
      </c>
      <c r="I56" s="137">
        <v>80</v>
      </c>
      <c r="J56" s="135" t="s">
        <v>216</v>
      </c>
    </row>
    <row r="57" spans="1:10" x14ac:dyDescent="0.3">
      <c r="A57" s="138">
        <v>44984</v>
      </c>
      <c r="B57" s="135" t="s">
        <v>289</v>
      </c>
      <c r="C57" s="135" t="s">
        <v>285</v>
      </c>
      <c r="D57" s="135" t="s">
        <v>260</v>
      </c>
      <c r="E57" s="135" t="s">
        <v>286</v>
      </c>
      <c r="F57" s="135" t="s">
        <v>287</v>
      </c>
      <c r="G57" s="135">
        <v>1</v>
      </c>
      <c r="H57" s="137">
        <v>100</v>
      </c>
      <c r="I57" s="137">
        <v>100</v>
      </c>
      <c r="J57" s="135" t="s">
        <v>288</v>
      </c>
    </row>
    <row r="58" spans="1:10" x14ac:dyDescent="0.3">
      <c r="A58" s="138">
        <v>44986</v>
      </c>
      <c r="B58" s="135" t="s">
        <v>317</v>
      </c>
      <c r="C58" s="135" t="s">
        <v>217</v>
      </c>
      <c r="D58" s="135" t="s">
        <v>213</v>
      </c>
      <c r="E58" s="135" t="s">
        <v>218</v>
      </c>
      <c r="F58" s="135" t="s">
        <v>219</v>
      </c>
      <c r="G58" s="135">
        <v>1</v>
      </c>
      <c r="H58" s="137">
        <v>730</v>
      </c>
      <c r="I58" s="137">
        <v>730</v>
      </c>
      <c r="J58" s="135" t="s">
        <v>216</v>
      </c>
    </row>
    <row r="59" spans="1:10" x14ac:dyDescent="0.3">
      <c r="A59" s="138">
        <v>44989</v>
      </c>
      <c r="B59" s="135" t="s">
        <v>317</v>
      </c>
      <c r="C59" s="135" t="s">
        <v>319</v>
      </c>
      <c r="D59" s="135" t="s">
        <v>213</v>
      </c>
      <c r="E59" s="135" t="s">
        <v>214</v>
      </c>
      <c r="F59" s="135" t="s">
        <v>320</v>
      </c>
      <c r="G59" s="135">
        <v>1</v>
      </c>
      <c r="H59" s="137">
        <v>60</v>
      </c>
      <c r="I59" s="137">
        <v>60</v>
      </c>
      <c r="J59" s="135" t="s">
        <v>216</v>
      </c>
    </row>
    <row r="60" spans="1:10" x14ac:dyDescent="0.3">
      <c r="A60" s="138">
        <v>44989</v>
      </c>
      <c r="B60" s="135" t="s">
        <v>317</v>
      </c>
      <c r="C60" s="135" t="s">
        <v>318</v>
      </c>
      <c r="D60" s="135" t="s">
        <v>243</v>
      </c>
      <c r="E60" s="135" t="s">
        <v>244</v>
      </c>
      <c r="F60" s="135" t="s">
        <v>245</v>
      </c>
      <c r="G60" s="135">
        <v>2</v>
      </c>
      <c r="H60" s="137">
        <v>17</v>
      </c>
      <c r="I60" s="137">
        <v>34</v>
      </c>
      <c r="J60" s="135" t="s">
        <v>216</v>
      </c>
    </row>
    <row r="61" spans="1:10" x14ac:dyDescent="0.3">
      <c r="A61" s="138">
        <v>44989</v>
      </c>
      <c r="B61" s="135" t="s">
        <v>317</v>
      </c>
      <c r="C61" s="135" t="s">
        <v>321</v>
      </c>
      <c r="D61" s="135" t="s">
        <v>213</v>
      </c>
      <c r="E61" s="135" t="s">
        <v>308</v>
      </c>
      <c r="F61" s="135" t="s">
        <v>322</v>
      </c>
      <c r="G61" s="135">
        <v>3</v>
      </c>
      <c r="H61" s="137">
        <v>8</v>
      </c>
      <c r="I61" s="137">
        <v>24</v>
      </c>
      <c r="J61" s="135" t="s">
        <v>216</v>
      </c>
    </row>
    <row r="62" spans="1:10" x14ac:dyDescent="0.3">
      <c r="A62" s="138">
        <v>44989</v>
      </c>
      <c r="B62" s="135" t="s">
        <v>317</v>
      </c>
      <c r="C62" s="135" t="s">
        <v>323</v>
      </c>
      <c r="D62" s="135" t="s">
        <v>213</v>
      </c>
      <c r="E62" s="135" t="s">
        <v>224</v>
      </c>
      <c r="F62" s="135" t="s">
        <v>324</v>
      </c>
      <c r="G62" s="135">
        <v>2</v>
      </c>
      <c r="H62" s="137">
        <v>8</v>
      </c>
      <c r="I62" s="137">
        <v>16</v>
      </c>
      <c r="J62" s="135" t="s">
        <v>216</v>
      </c>
    </row>
    <row r="63" spans="1:10" x14ac:dyDescent="0.3">
      <c r="A63" s="138">
        <v>44990</v>
      </c>
      <c r="B63" s="135" t="s">
        <v>317</v>
      </c>
      <c r="C63" s="135" t="s">
        <v>234</v>
      </c>
      <c r="D63" s="135" t="s">
        <v>235</v>
      </c>
      <c r="E63" s="135" t="s">
        <v>236</v>
      </c>
      <c r="F63" s="135" t="s">
        <v>237</v>
      </c>
      <c r="G63" s="135">
        <v>1</v>
      </c>
      <c r="H63" s="137">
        <v>1600</v>
      </c>
      <c r="I63" s="137">
        <v>1600</v>
      </c>
      <c r="J63" s="135" t="s">
        <v>216</v>
      </c>
    </row>
    <row r="64" spans="1:10" x14ac:dyDescent="0.3">
      <c r="A64" s="138">
        <v>44991</v>
      </c>
      <c r="B64" s="135" t="s">
        <v>317</v>
      </c>
      <c r="C64" s="135" t="s">
        <v>226</v>
      </c>
      <c r="D64" s="135" t="s">
        <v>227</v>
      </c>
      <c r="E64" s="135" t="s">
        <v>228</v>
      </c>
      <c r="F64" s="135" t="s">
        <v>229</v>
      </c>
      <c r="G64" s="135">
        <v>1</v>
      </c>
      <c r="H64" s="137">
        <v>100</v>
      </c>
      <c r="I64" s="137">
        <v>100</v>
      </c>
      <c r="J64" s="135" t="s">
        <v>216</v>
      </c>
    </row>
    <row r="65" spans="1:10" x14ac:dyDescent="0.3">
      <c r="A65" s="138">
        <v>44993</v>
      </c>
      <c r="B65" s="135" t="s">
        <v>317</v>
      </c>
      <c r="C65" s="135" t="s">
        <v>238</v>
      </c>
      <c r="D65" s="135" t="s">
        <v>239</v>
      </c>
      <c r="E65" s="135" t="s">
        <v>240</v>
      </c>
      <c r="F65" s="135" t="s">
        <v>241</v>
      </c>
      <c r="G65" s="135">
        <v>1</v>
      </c>
      <c r="H65" s="137">
        <v>600</v>
      </c>
      <c r="I65" s="137">
        <v>600</v>
      </c>
      <c r="J65" s="135" t="s">
        <v>26</v>
      </c>
    </row>
    <row r="66" spans="1:10" x14ac:dyDescent="0.3">
      <c r="A66" s="138">
        <v>44995</v>
      </c>
      <c r="B66" s="135" t="s">
        <v>317</v>
      </c>
      <c r="C66" s="135" t="s">
        <v>253</v>
      </c>
      <c r="D66" s="135" t="s">
        <v>254</v>
      </c>
      <c r="E66" s="135" t="s">
        <v>255</v>
      </c>
      <c r="F66" s="135" t="s">
        <v>45</v>
      </c>
      <c r="G66" s="135">
        <v>1</v>
      </c>
      <c r="H66" s="137">
        <v>1100</v>
      </c>
      <c r="I66" s="137">
        <v>1100</v>
      </c>
      <c r="J66" s="135" t="s">
        <v>45</v>
      </c>
    </row>
    <row r="67" spans="1:10" x14ac:dyDescent="0.3">
      <c r="A67" s="138">
        <v>44995</v>
      </c>
      <c r="B67" s="135" t="s">
        <v>317</v>
      </c>
      <c r="C67" s="135" t="s">
        <v>256</v>
      </c>
      <c r="D67" s="135" t="s">
        <v>254</v>
      </c>
      <c r="E67" s="135" t="s">
        <v>257</v>
      </c>
      <c r="F67" s="135" t="s">
        <v>258</v>
      </c>
      <c r="G67" s="135">
        <v>1</v>
      </c>
      <c r="H67" s="137">
        <v>100</v>
      </c>
      <c r="I67" s="137">
        <v>100</v>
      </c>
      <c r="J67" s="135" t="s">
        <v>52</v>
      </c>
    </row>
    <row r="68" spans="1:10" x14ac:dyDescent="0.3">
      <c r="A68" s="138">
        <v>44996</v>
      </c>
      <c r="B68" s="135" t="s">
        <v>317</v>
      </c>
      <c r="C68" s="135" t="s">
        <v>325</v>
      </c>
      <c r="D68" s="135" t="s">
        <v>213</v>
      </c>
      <c r="E68" s="135" t="s">
        <v>221</v>
      </c>
      <c r="F68" s="135" t="s">
        <v>326</v>
      </c>
      <c r="G68" s="135">
        <v>3</v>
      </c>
      <c r="H68" s="137">
        <v>10</v>
      </c>
      <c r="I68" s="137">
        <v>30</v>
      </c>
      <c r="J68" s="135" t="s">
        <v>216</v>
      </c>
    </row>
    <row r="69" spans="1:10" x14ac:dyDescent="0.3">
      <c r="A69" s="138">
        <v>44996</v>
      </c>
      <c r="B69" s="135" t="s">
        <v>317</v>
      </c>
      <c r="C69" s="135" t="s">
        <v>327</v>
      </c>
      <c r="D69" s="135" t="s">
        <v>213</v>
      </c>
      <c r="E69" s="135" t="s">
        <v>221</v>
      </c>
      <c r="F69" s="135" t="s">
        <v>326</v>
      </c>
      <c r="G69" s="135">
        <v>3</v>
      </c>
      <c r="H69" s="137">
        <v>3</v>
      </c>
      <c r="I69" s="137">
        <v>9</v>
      </c>
      <c r="J69" s="135" t="s">
        <v>216</v>
      </c>
    </row>
    <row r="70" spans="1:10" x14ac:dyDescent="0.3">
      <c r="A70" s="138">
        <v>44996</v>
      </c>
      <c r="B70" s="135" t="s">
        <v>317</v>
      </c>
      <c r="C70" s="135" t="s">
        <v>328</v>
      </c>
      <c r="D70" s="135" t="s">
        <v>213</v>
      </c>
      <c r="E70" s="135" t="s">
        <v>224</v>
      </c>
      <c r="F70" s="135" t="s">
        <v>329</v>
      </c>
      <c r="G70" s="135">
        <v>2</v>
      </c>
      <c r="H70" s="137">
        <v>25</v>
      </c>
      <c r="I70" s="137">
        <v>50</v>
      </c>
      <c r="J70" s="135" t="s">
        <v>216</v>
      </c>
    </row>
    <row r="71" spans="1:10" x14ac:dyDescent="0.3">
      <c r="A71" s="138">
        <v>45000</v>
      </c>
      <c r="B71" s="135" t="s">
        <v>317</v>
      </c>
      <c r="C71" s="135" t="s">
        <v>217</v>
      </c>
      <c r="D71" s="135" t="s">
        <v>213</v>
      </c>
      <c r="E71" s="135" t="s">
        <v>218</v>
      </c>
      <c r="F71" s="135" t="s">
        <v>219</v>
      </c>
      <c r="G71" s="135">
        <v>1</v>
      </c>
      <c r="H71" s="137">
        <v>750</v>
      </c>
      <c r="I71" s="137">
        <v>750</v>
      </c>
      <c r="J71" s="135" t="s">
        <v>216</v>
      </c>
    </row>
    <row r="72" spans="1:10" x14ac:dyDescent="0.3">
      <c r="A72" s="138">
        <v>45000</v>
      </c>
      <c r="B72" s="135" t="s">
        <v>317</v>
      </c>
      <c r="C72" s="135" t="s">
        <v>259</v>
      </c>
      <c r="D72" s="135" t="s">
        <v>260</v>
      </c>
      <c r="E72" s="135" t="s">
        <v>261</v>
      </c>
      <c r="F72" s="135" t="s">
        <v>262</v>
      </c>
      <c r="G72" s="135">
        <v>1</v>
      </c>
      <c r="H72" s="137">
        <v>35</v>
      </c>
      <c r="I72" s="137">
        <v>35</v>
      </c>
      <c r="J72" s="135" t="s">
        <v>216</v>
      </c>
    </row>
    <row r="73" spans="1:10" x14ac:dyDescent="0.3">
      <c r="A73" s="138">
        <v>45003</v>
      </c>
      <c r="B73" s="135" t="s">
        <v>317</v>
      </c>
      <c r="C73" s="135" t="s">
        <v>333</v>
      </c>
      <c r="D73" s="135" t="s">
        <v>213</v>
      </c>
      <c r="E73" s="135" t="s">
        <v>221</v>
      </c>
      <c r="F73" s="135" t="s">
        <v>334</v>
      </c>
      <c r="G73" s="135">
        <v>3</v>
      </c>
      <c r="H73" s="137">
        <v>29.9</v>
      </c>
      <c r="I73" s="137">
        <v>89.7</v>
      </c>
      <c r="J73" s="135" t="s">
        <v>216</v>
      </c>
    </row>
    <row r="74" spans="1:10" x14ac:dyDescent="0.3">
      <c r="A74" s="138">
        <v>45003</v>
      </c>
      <c r="B74" s="135" t="s">
        <v>317</v>
      </c>
      <c r="C74" s="135" t="s">
        <v>335</v>
      </c>
      <c r="D74" s="135" t="s">
        <v>213</v>
      </c>
      <c r="E74" s="135" t="s">
        <v>224</v>
      </c>
      <c r="F74" s="135" t="s">
        <v>336</v>
      </c>
      <c r="G74" s="135">
        <v>3</v>
      </c>
      <c r="H74" s="137">
        <v>7</v>
      </c>
      <c r="I74" s="137">
        <v>21</v>
      </c>
      <c r="J74" s="135" t="s">
        <v>216</v>
      </c>
    </row>
    <row r="75" spans="1:10" x14ac:dyDescent="0.3">
      <c r="A75" s="138">
        <v>45003</v>
      </c>
      <c r="B75" s="135" t="s">
        <v>317</v>
      </c>
      <c r="C75" s="135" t="s">
        <v>223</v>
      </c>
      <c r="D75" s="135" t="s">
        <v>213</v>
      </c>
      <c r="E75" s="135" t="s">
        <v>214</v>
      </c>
      <c r="F75" s="135" t="s">
        <v>250</v>
      </c>
      <c r="G75" s="135">
        <v>2</v>
      </c>
      <c r="H75" s="137">
        <v>4</v>
      </c>
      <c r="I75" s="137">
        <v>8</v>
      </c>
      <c r="J75" s="135" t="s">
        <v>216</v>
      </c>
    </row>
    <row r="76" spans="1:10" x14ac:dyDescent="0.3">
      <c r="A76" s="138">
        <v>45003</v>
      </c>
      <c r="B76" s="135" t="s">
        <v>317</v>
      </c>
      <c r="C76" s="135" t="s">
        <v>330</v>
      </c>
      <c r="D76" s="135" t="s">
        <v>243</v>
      </c>
      <c r="E76" s="135" t="s">
        <v>331</v>
      </c>
      <c r="F76" s="135" t="s">
        <v>332</v>
      </c>
      <c r="G76" s="135">
        <v>3</v>
      </c>
      <c r="H76" s="137">
        <v>150</v>
      </c>
      <c r="I76" s="137">
        <v>450</v>
      </c>
      <c r="J76" s="135" t="s">
        <v>216</v>
      </c>
    </row>
    <row r="77" spans="1:10" x14ac:dyDescent="0.3">
      <c r="A77" s="138">
        <v>45005</v>
      </c>
      <c r="B77" s="135" t="s">
        <v>317</v>
      </c>
      <c r="C77" s="135" t="s">
        <v>267</v>
      </c>
      <c r="D77" s="135" t="s">
        <v>227</v>
      </c>
      <c r="E77" s="135" t="s">
        <v>268</v>
      </c>
      <c r="F77" s="135" t="s">
        <v>237</v>
      </c>
      <c r="G77" s="135">
        <v>1</v>
      </c>
      <c r="H77" s="137">
        <v>1200</v>
      </c>
      <c r="I77" s="137">
        <v>1200</v>
      </c>
      <c r="J77" s="135" t="s">
        <v>216</v>
      </c>
    </row>
    <row r="78" spans="1:10" x14ac:dyDescent="0.3">
      <c r="A78" s="138">
        <v>45005</v>
      </c>
      <c r="B78" s="135" t="s">
        <v>317</v>
      </c>
      <c r="C78" s="135" t="s">
        <v>226</v>
      </c>
      <c r="D78" s="135" t="s">
        <v>227</v>
      </c>
      <c r="E78" s="135" t="s">
        <v>228</v>
      </c>
      <c r="F78" s="135" t="s">
        <v>229</v>
      </c>
      <c r="G78" s="135">
        <v>1</v>
      </c>
      <c r="H78" s="137">
        <v>110</v>
      </c>
      <c r="I78" s="137">
        <v>110</v>
      </c>
      <c r="J78" s="135" t="s">
        <v>216</v>
      </c>
    </row>
    <row r="79" spans="1:10" x14ac:dyDescent="0.3">
      <c r="A79" s="138">
        <v>45009</v>
      </c>
      <c r="B79" s="135" t="s">
        <v>317</v>
      </c>
      <c r="C79" s="135" t="s">
        <v>280</v>
      </c>
      <c r="D79" s="135" t="s">
        <v>254</v>
      </c>
      <c r="E79" s="135" t="s">
        <v>255</v>
      </c>
      <c r="F79" s="135" t="s">
        <v>281</v>
      </c>
      <c r="G79" s="135">
        <v>1</v>
      </c>
      <c r="H79" s="137">
        <v>500</v>
      </c>
      <c r="I79" s="137">
        <v>500</v>
      </c>
      <c r="J79" s="135" t="s">
        <v>49</v>
      </c>
    </row>
    <row r="80" spans="1:10" x14ac:dyDescent="0.3">
      <c r="A80" s="138">
        <v>45010</v>
      </c>
      <c r="B80" s="135" t="s">
        <v>317</v>
      </c>
      <c r="C80" s="135" t="s">
        <v>282</v>
      </c>
      <c r="D80" s="135" t="s">
        <v>260</v>
      </c>
      <c r="E80" s="135" t="s">
        <v>283</v>
      </c>
      <c r="F80" s="135" t="s">
        <v>284</v>
      </c>
      <c r="G80" s="135">
        <v>1</v>
      </c>
      <c r="H80" s="137">
        <v>85</v>
      </c>
      <c r="I80" s="137">
        <v>85</v>
      </c>
      <c r="J80" s="135" t="s">
        <v>216</v>
      </c>
    </row>
    <row r="81" spans="1:10" x14ac:dyDescent="0.3">
      <c r="A81" s="138">
        <v>45011</v>
      </c>
      <c r="B81" s="135" t="s">
        <v>317</v>
      </c>
      <c r="C81" s="135" t="s">
        <v>285</v>
      </c>
      <c r="D81" s="135" t="s">
        <v>260</v>
      </c>
      <c r="E81" s="135" t="s">
        <v>286</v>
      </c>
      <c r="F81" s="135" t="s">
        <v>287</v>
      </c>
      <c r="G81" s="135">
        <v>1</v>
      </c>
      <c r="H81" s="137">
        <v>100</v>
      </c>
      <c r="I81" s="137">
        <v>100</v>
      </c>
      <c r="J81" s="135" t="s">
        <v>288</v>
      </c>
    </row>
    <row r="82" spans="1:10" x14ac:dyDescent="0.3">
      <c r="A82" s="138">
        <v>45017</v>
      </c>
      <c r="B82" s="135" t="s">
        <v>337</v>
      </c>
      <c r="C82" s="135" t="s">
        <v>338</v>
      </c>
      <c r="D82" s="135" t="s">
        <v>213</v>
      </c>
      <c r="E82" s="135" t="s">
        <v>224</v>
      </c>
      <c r="F82" s="135" t="s">
        <v>339</v>
      </c>
      <c r="G82" s="135">
        <v>2</v>
      </c>
      <c r="H82" s="137">
        <v>11.9</v>
      </c>
      <c r="I82" s="137">
        <v>23.8</v>
      </c>
      <c r="J82" s="135" t="s">
        <v>216</v>
      </c>
    </row>
    <row r="83" spans="1:10" x14ac:dyDescent="0.3">
      <c r="A83" s="138">
        <v>45017</v>
      </c>
      <c r="B83" s="135" t="s">
        <v>337</v>
      </c>
      <c r="C83" s="135" t="s">
        <v>303</v>
      </c>
      <c r="D83" s="135" t="s">
        <v>213</v>
      </c>
      <c r="E83" s="135" t="s">
        <v>224</v>
      </c>
      <c r="F83" s="135" t="s">
        <v>304</v>
      </c>
      <c r="G83" s="135">
        <v>3</v>
      </c>
      <c r="H83" s="137">
        <v>5</v>
      </c>
      <c r="I83" s="137">
        <v>15</v>
      </c>
      <c r="J83" s="135" t="s">
        <v>216</v>
      </c>
    </row>
    <row r="84" spans="1:10" x14ac:dyDescent="0.3">
      <c r="A84" s="138">
        <v>45017</v>
      </c>
      <c r="B84" s="135" t="s">
        <v>337</v>
      </c>
      <c r="C84" s="135" t="s">
        <v>217</v>
      </c>
      <c r="D84" s="135" t="s">
        <v>213</v>
      </c>
      <c r="E84" s="135" t="s">
        <v>218</v>
      </c>
      <c r="F84" s="135" t="s">
        <v>219</v>
      </c>
      <c r="G84" s="135">
        <v>1</v>
      </c>
      <c r="H84" s="137">
        <v>800</v>
      </c>
      <c r="I84" s="137">
        <v>800</v>
      </c>
      <c r="J84" s="135" t="s">
        <v>216</v>
      </c>
    </row>
    <row r="85" spans="1:10" x14ac:dyDescent="0.3">
      <c r="A85" s="138">
        <v>45017</v>
      </c>
      <c r="B85" s="135" t="s">
        <v>337</v>
      </c>
      <c r="C85" s="135" t="s">
        <v>223</v>
      </c>
      <c r="D85" s="135" t="s">
        <v>213</v>
      </c>
      <c r="E85" s="135" t="s">
        <v>221</v>
      </c>
      <c r="F85" s="135" t="s">
        <v>340</v>
      </c>
      <c r="G85" s="135">
        <v>3</v>
      </c>
      <c r="H85" s="137">
        <v>8</v>
      </c>
      <c r="I85" s="137">
        <v>24</v>
      </c>
      <c r="J85" s="135" t="s">
        <v>216</v>
      </c>
    </row>
    <row r="86" spans="1:10" x14ac:dyDescent="0.3">
      <c r="A86" s="138">
        <v>45018</v>
      </c>
      <c r="B86" s="135" t="s">
        <v>337</v>
      </c>
      <c r="C86" s="135" t="s">
        <v>341</v>
      </c>
      <c r="D86" s="135" t="s">
        <v>243</v>
      </c>
      <c r="E86" s="135" t="s">
        <v>244</v>
      </c>
      <c r="F86" s="135" t="s">
        <v>245</v>
      </c>
      <c r="G86" s="135">
        <v>2</v>
      </c>
      <c r="H86" s="137">
        <v>17</v>
      </c>
      <c r="I86" s="137">
        <v>34</v>
      </c>
      <c r="J86" s="135" t="s">
        <v>216</v>
      </c>
    </row>
    <row r="87" spans="1:10" x14ac:dyDescent="0.3">
      <c r="A87" s="138">
        <v>45020</v>
      </c>
      <c r="B87" s="135" t="s">
        <v>337</v>
      </c>
      <c r="C87" s="135" t="s">
        <v>226</v>
      </c>
      <c r="D87" s="135" t="s">
        <v>227</v>
      </c>
      <c r="E87" s="135" t="s">
        <v>228</v>
      </c>
      <c r="F87" s="135" t="s">
        <v>229</v>
      </c>
      <c r="G87" s="135">
        <v>1</v>
      </c>
      <c r="H87" s="137">
        <v>80</v>
      </c>
      <c r="I87" s="137">
        <v>80</v>
      </c>
      <c r="J87" s="135" t="s">
        <v>216</v>
      </c>
    </row>
    <row r="88" spans="1:10" x14ac:dyDescent="0.3">
      <c r="A88" s="138">
        <v>45021</v>
      </c>
      <c r="B88" s="135" t="s">
        <v>337</v>
      </c>
      <c r="C88" s="135" t="s">
        <v>234</v>
      </c>
      <c r="D88" s="135" t="s">
        <v>235</v>
      </c>
      <c r="E88" s="135" t="s">
        <v>236</v>
      </c>
      <c r="F88" s="135" t="s">
        <v>237</v>
      </c>
      <c r="G88" s="135">
        <v>1</v>
      </c>
      <c r="H88" s="137">
        <v>1600</v>
      </c>
      <c r="I88" s="137">
        <v>1600</v>
      </c>
      <c r="J88" s="135" t="s">
        <v>216</v>
      </c>
    </row>
    <row r="89" spans="1:10" x14ac:dyDescent="0.3">
      <c r="A89" s="138">
        <v>45024</v>
      </c>
      <c r="B89" s="135" t="s">
        <v>337</v>
      </c>
      <c r="C89" s="135" t="s">
        <v>247</v>
      </c>
      <c r="D89" s="135" t="s">
        <v>213</v>
      </c>
      <c r="E89" s="135" t="s">
        <v>221</v>
      </c>
      <c r="F89" s="135" t="s">
        <v>342</v>
      </c>
      <c r="G89" s="135">
        <v>3</v>
      </c>
      <c r="H89" s="137">
        <v>5.5</v>
      </c>
      <c r="I89" s="137">
        <v>16.5</v>
      </c>
      <c r="J89" s="135" t="s">
        <v>216</v>
      </c>
    </row>
    <row r="90" spans="1:10" x14ac:dyDescent="0.3">
      <c r="A90" s="138">
        <v>45024</v>
      </c>
      <c r="B90" s="135" t="s">
        <v>337</v>
      </c>
      <c r="C90" s="135" t="s">
        <v>290</v>
      </c>
      <c r="D90" s="135" t="s">
        <v>213</v>
      </c>
      <c r="E90" s="135" t="s">
        <v>214</v>
      </c>
      <c r="F90" s="135" t="s">
        <v>291</v>
      </c>
      <c r="G90" s="135">
        <v>2</v>
      </c>
      <c r="H90" s="137">
        <v>6</v>
      </c>
      <c r="I90" s="137">
        <v>12</v>
      </c>
      <c r="J90" s="135" t="s">
        <v>216</v>
      </c>
    </row>
    <row r="91" spans="1:10" x14ac:dyDescent="0.3">
      <c r="A91" s="138">
        <v>45024</v>
      </c>
      <c r="B91" s="135" t="s">
        <v>337</v>
      </c>
      <c r="C91" s="135" t="s">
        <v>238</v>
      </c>
      <c r="D91" s="135" t="s">
        <v>239</v>
      </c>
      <c r="E91" s="135" t="s">
        <v>240</v>
      </c>
      <c r="F91" s="135" t="s">
        <v>241</v>
      </c>
      <c r="G91" s="135">
        <v>1</v>
      </c>
      <c r="H91" s="137">
        <v>600</v>
      </c>
      <c r="I91" s="137">
        <v>600</v>
      </c>
      <c r="J91" s="135" t="s">
        <v>26</v>
      </c>
    </row>
    <row r="92" spans="1:10" x14ac:dyDescent="0.3">
      <c r="A92" s="138">
        <v>45024</v>
      </c>
      <c r="B92" s="135" t="s">
        <v>337</v>
      </c>
      <c r="C92" s="135" t="s">
        <v>294</v>
      </c>
      <c r="D92" s="135" t="s">
        <v>213</v>
      </c>
      <c r="E92" s="135" t="s">
        <v>224</v>
      </c>
      <c r="F92" s="135" t="s">
        <v>295</v>
      </c>
      <c r="G92" s="135">
        <v>2</v>
      </c>
      <c r="H92" s="137">
        <v>8</v>
      </c>
      <c r="I92" s="137">
        <v>16</v>
      </c>
      <c r="J92" s="135" t="s">
        <v>216</v>
      </c>
    </row>
    <row r="93" spans="1:10" x14ac:dyDescent="0.3">
      <c r="A93" s="138">
        <v>45026</v>
      </c>
      <c r="B93" s="135" t="s">
        <v>337</v>
      </c>
      <c r="C93" s="135" t="s">
        <v>253</v>
      </c>
      <c r="D93" s="135" t="s">
        <v>254</v>
      </c>
      <c r="E93" s="135" t="s">
        <v>255</v>
      </c>
      <c r="F93" s="135" t="s">
        <v>45</v>
      </c>
      <c r="G93" s="135">
        <v>1</v>
      </c>
      <c r="H93" s="137">
        <v>1100</v>
      </c>
      <c r="I93" s="137">
        <v>1100</v>
      </c>
      <c r="J93" s="135" t="s">
        <v>45</v>
      </c>
    </row>
    <row r="94" spans="1:10" x14ac:dyDescent="0.3">
      <c r="A94" s="138">
        <v>45026</v>
      </c>
      <c r="B94" s="135" t="s">
        <v>337</v>
      </c>
      <c r="C94" s="135" t="s">
        <v>256</v>
      </c>
      <c r="D94" s="135" t="s">
        <v>254</v>
      </c>
      <c r="E94" s="135" t="s">
        <v>257</v>
      </c>
      <c r="F94" s="135" t="s">
        <v>258</v>
      </c>
      <c r="G94" s="135">
        <v>1</v>
      </c>
      <c r="H94" s="137">
        <v>100</v>
      </c>
      <c r="I94" s="137">
        <v>100</v>
      </c>
      <c r="J94" s="135" t="s">
        <v>52</v>
      </c>
    </row>
    <row r="95" spans="1:10" x14ac:dyDescent="0.3">
      <c r="A95" s="138">
        <v>45031</v>
      </c>
      <c r="B95" s="135" t="s">
        <v>337</v>
      </c>
      <c r="C95" s="135" t="s">
        <v>343</v>
      </c>
      <c r="D95" s="135" t="s">
        <v>213</v>
      </c>
      <c r="E95" s="135" t="s">
        <v>224</v>
      </c>
      <c r="F95" s="135" t="s">
        <v>344</v>
      </c>
      <c r="G95" s="135">
        <v>3</v>
      </c>
      <c r="H95" s="137">
        <v>9</v>
      </c>
      <c r="I95" s="137">
        <v>27</v>
      </c>
      <c r="J95" s="135" t="s">
        <v>216</v>
      </c>
    </row>
    <row r="96" spans="1:10" x14ac:dyDescent="0.3">
      <c r="A96" s="138">
        <v>45031</v>
      </c>
      <c r="B96" s="135" t="s">
        <v>337</v>
      </c>
      <c r="C96" s="135" t="s">
        <v>217</v>
      </c>
      <c r="D96" s="135" t="s">
        <v>213</v>
      </c>
      <c r="E96" s="135" t="s">
        <v>218</v>
      </c>
      <c r="F96" s="135" t="s">
        <v>219</v>
      </c>
      <c r="G96" s="135">
        <v>1</v>
      </c>
      <c r="H96" s="137">
        <v>769</v>
      </c>
      <c r="I96" s="137">
        <v>769</v>
      </c>
      <c r="J96" s="135" t="s">
        <v>216</v>
      </c>
    </row>
    <row r="97" spans="1:10" x14ac:dyDescent="0.3">
      <c r="A97" s="138">
        <v>45031</v>
      </c>
      <c r="B97" s="135" t="s">
        <v>337</v>
      </c>
      <c r="C97" s="135" t="s">
        <v>345</v>
      </c>
      <c r="D97" s="135" t="s">
        <v>213</v>
      </c>
      <c r="E97" s="135" t="s">
        <v>221</v>
      </c>
      <c r="F97" s="135" t="s">
        <v>346</v>
      </c>
      <c r="G97" s="135">
        <v>3</v>
      </c>
      <c r="H97" s="137">
        <v>6</v>
      </c>
      <c r="I97" s="137">
        <v>18</v>
      </c>
      <c r="J97" s="135" t="s">
        <v>216</v>
      </c>
    </row>
    <row r="98" spans="1:10" x14ac:dyDescent="0.3">
      <c r="A98" s="138">
        <v>45031</v>
      </c>
      <c r="B98" s="135" t="s">
        <v>337</v>
      </c>
      <c r="C98" s="135" t="s">
        <v>347</v>
      </c>
      <c r="D98" s="135" t="s">
        <v>213</v>
      </c>
      <c r="E98" s="135" t="s">
        <v>214</v>
      </c>
      <c r="F98" s="135" t="s">
        <v>250</v>
      </c>
      <c r="G98" s="135">
        <v>3</v>
      </c>
      <c r="H98" s="137">
        <v>6</v>
      </c>
      <c r="I98" s="137">
        <v>18</v>
      </c>
      <c r="J98" s="135" t="s">
        <v>216</v>
      </c>
    </row>
    <row r="99" spans="1:10" x14ac:dyDescent="0.3">
      <c r="A99" s="138">
        <v>45031</v>
      </c>
      <c r="B99" s="135" t="s">
        <v>337</v>
      </c>
      <c r="C99" s="135" t="s">
        <v>259</v>
      </c>
      <c r="D99" s="135" t="s">
        <v>260</v>
      </c>
      <c r="E99" s="135" t="s">
        <v>261</v>
      </c>
      <c r="F99" s="135" t="s">
        <v>262</v>
      </c>
      <c r="G99" s="135">
        <v>1</v>
      </c>
      <c r="H99" s="137">
        <v>35</v>
      </c>
      <c r="I99" s="137">
        <v>35</v>
      </c>
      <c r="J99" s="135" t="s">
        <v>216</v>
      </c>
    </row>
    <row r="100" spans="1:10" x14ac:dyDescent="0.3">
      <c r="A100" s="138">
        <v>45032</v>
      </c>
      <c r="B100" s="135" t="s">
        <v>337</v>
      </c>
      <c r="C100" s="135" t="s">
        <v>348</v>
      </c>
      <c r="D100" s="135" t="s">
        <v>243</v>
      </c>
      <c r="E100" s="135" t="s">
        <v>349</v>
      </c>
      <c r="F100" s="135" t="s">
        <v>350</v>
      </c>
      <c r="G100" s="135">
        <v>3</v>
      </c>
      <c r="H100" s="137">
        <v>30</v>
      </c>
      <c r="I100" s="137">
        <v>90</v>
      </c>
      <c r="J100" s="135" t="s">
        <v>216</v>
      </c>
    </row>
    <row r="101" spans="1:10" x14ac:dyDescent="0.3">
      <c r="A101" s="138">
        <v>45034</v>
      </c>
      <c r="B101" s="135" t="s">
        <v>337</v>
      </c>
      <c r="C101" s="135" t="s">
        <v>226</v>
      </c>
      <c r="D101" s="135" t="s">
        <v>227</v>
      </c>
      <c r="E101" s="135" t="s">
        <v>228</v>
      </c>
      <c r="F101" s="135" t="s">
        <v>229</v>
      </c>
      <c r="G101" s="135">
        <v>1</v>
      </c>
      <c r="H101" s="137">
        <v>120</v>
      </c>
      <c r="I101" s="137">
        <v>120</v>
      </c>
      <c r="J101" s="135" t="s">
        <v>216</v>
      </c>
    </row>
    <row r="102" spans="1:10" x14ac:dyDescent="0.3">
      <c r="A102" s="138">
        <v>45036</v>
      </c>
      <c r="B102" s="135" t="s">
        <v>337</v>
      </c>
      <c r="C102" s="135" t="s">
        <v>351</v>
      </c>
      <c r="D102" s="135" t="s">
        <v>352</v>
      </c>
      <c r="E102" s="135" t="s">
        <v>353</v>
      </c>
      <c r="F102" s="135" t="s">
        <v>354</v>
      </c>
      <c r="G102" s="135">
        <v>1</v>
      </c>
      <c r="H102" s="137">
        <v>300</v>
      </c>
      <c r="I102" s="137">
        <v>300</v>
      </c>
      <c r="J102" s="135" t="s">
        <v>19</v>
      </c>
    </row>
    <row r="103" spans="1:10" x14ac:dyDescent="0.3">
      <c r="A103" s="138">
        <v>45036</v>
      </c>
      <c r="B103" s="135" t="s">
        <v>337</v>
      </c>
      <c r="C103" s="135" t="s">
        <v>267</v>
      </c>
      <c r="D103" s="135" t="s">
        <v>227</v>
      </c>
      <c r="E103" s="135" t="s">
        <v>268</v>
      </c>
      <c r="F103" s="135" t="s">
        <v>237</v>
      </c>
      <c r="G103" s="135">
        <v>1</v>
      </c>
      <c r="H103" s="137">
        <v>1200</v>
      </c>
      <c r="I103" s="137">
        <v>1200</v>
      </c>
      <c r="J103" s="135" t="s">
        <v>216</v>
      </c>
    </row>
    <row r="104" spans="1:10" x14ac:dyDescent="0.3">
      <c r="A104" s="138">
        <v>45036</v>
      </c>
      <c r="B104" s="135" t="s">
        <v>337</v>
      </c>
      <c r="C104" s="135" t="s">
        <v>301</v>
      </c>
      <c r="D104" s="135" t="s">
        <v>227</v>
      </c>
      <c r="E104" s="135" t="s">
        <v>228</v>
      </c>
      <c r="F104" s="135" t="s">
        <v>355</v>
      </c>
      <c r="G104" s="135">
        <v>1</v>
      </c>
      <c r="H104" s="137">
        <v>4</v>
      </c>
      <c r="I104" s="137">
        <v>4</v>
      </c>
      <c r="J104" s="135" t="s">
        <v>216</v>
      </c>
    </row>
    <row r="105" spans="1:10" x14ac:dyDescent="0.3">
      <c r="A105" s="138">
        <v>45039</v>
      </c>
      <c r="B105" s="135" t="s">
        <v>337</v>
      </c>
      <c r="C105" s="135" t="s">
        <v>356</v>
      </c>
      <c r="D105" s="135" t="s">
        <v>352</v>
      </c>
      <c r="E105" s="135" t="s">
        <v>357</v>
      </c>
      <c r="F105" s="135" t="s">
        <v>358</v>
      </c>
      <c r="G105" s="135">
        <v>2</v>
      </c>
      <c r="H105" s="137">
        <v>1250</v>
      </c>
      <c r="I105" s="137">
        <v>2500</v>
      </c>
      <c r="J105" s="135" t="s">
        <v>288</v>
      </c>
    </row>
    <row r="106" spans="1:10" x14ac:dyDescent="0.3">
      <c r="A106" s="138">
        <v>45040</v>
      </c>
      <c r="B106" s="135" t="s">
        <v>337</v>
      </c>
      <c r="C106" s="135" t="s">
        <v>280</v>
      </c>
      <c r="D106" s="135" t="s">
        <v>254</v>
      </c>
      <c r="E106" s="135" t="s">
        <v>255</v>
      </c>
      <c r="F106" s="135" t="s">
        <v>281</v>
      </c>
      <c r="G106" s="135">
        <v>1</v>
      </c>
      <c r="H106" s="137">
        <v>500</v>
      </c>
      <c r="I106" s="137">
        <v>500</v>
      </c>
      <c r="J106" s="135" t="s">
        <v>49</v>
      </c>
    </row>
    <row r="107" spans="1:10" x14ac:dyDescent="0.3">
      <c r="A107" s="138">
        <v>45041</v>
      </c>
      <c r="B107" s="135" t="s">
        <v>337</v>
      </c>
      <c r="C107" s="135" t="s">
        <v>282</v>
      </c>
      <c r="D107" s="135" t="s">
        <v>260</v>
      </c>
      <c r="E107" s="135" t="s">
        <v>283</v>
      </c>
      <c r="F107" s="135" t="s">
        <v>284</v>
      </c>
      <c r="G107" s="135">
        <v>1</v>
      </c>
      <c r="H107" s="137">
        <v>84</v>
      </c>
      <c r="I107" s="137">
        <v>84</v>
      </c>
      <c r="J107" s="135" t="s">
        <v>216</v>
      </c>
    </row>
    <row r="108" spans="1:10" x14ac:dyDescent="0.3">
      <c r="A108" s="138">
        <v>45042</v>
      </c>
      <c r="B108" s="135" t="s">
        <v>337</v>
      </c>
      <c r="C108" s="135" t="s">
        <v>285</v>
      </c>
      <c r="D108" s="135" t="s">
        <v>260</v>
      </c>
      <c r="E108" s="135" t="s">
        <v>286</v>
      </c>
      <c r="F108" s="135" t="s">
        <v>287</v>
      </c>
      <c r="G108" s="135">
        <v>1</v>
      </c>
      <c r="H108" s="137">
        <v>100</v>
      </c>
      <c r="I108" s="137">
        <v>100</v>
      </c>
      <c r="J108" s="135" t="s">
        <v>288</v>
      </c>
    </row>
    <row r="109" spans="1:10" x14ac:dyDescent="0.3">
      <c r="A109" s="138">
        <v>45047</v>
      </c>
      <c r="B109" s="135" t="s">
        <v>359</v>
      </c>
      <c r="C109" s="135" t="s">
        <v>217</v>
      </c>
      <c r="D109" s="135" t="s">
        <v>213</v>
      </c>
      <c r="E109" s="135" t="s">
        <v>218</v>
      </c>
      <c r="F109" s="135" t="s">
        <v>219</v>
      </c>
      <c r="G109" s="135">
        <v>1</v>
      </c>
      <c r="H109" s="137">
        <v>804</v>
      </c>
      <c r="I109" s="137">
        <v>804</v>
      </c>
      <c r="J109" s="135" t="s">
        <v>216</v>
      </c>
    </row>
    <row r="110" spans="1:10" x14ac:dyDescent="0.3">
      <c r="A110" s="138">
        <v>45051</v>
      </c>
      <c r="B110" s="135" t="s">
        <v>359</v>
      </c>
      <c r="C110" s="135" t="s">
        <v>234</v>
      </c>
      <c r="D110" s="135" t="s">
        <v>235</v>
      </c>
      <c r="E110" s="135" t="s">
        <v>236</v>
      </c>
      <c r="F110" s="135" t="s">
        <v>237</v>
      </c>
      <c r="G110" s="135">
        <v>1</v>
      </c>
      <c r="H110" s="137">
        <v>1600</v>
      </c>
      <c r="I110" s="137">
        <v>1600</v>
      </c>
      <c r="J110" s="135" t="s">
        <v>216</v>
      </c>
    </row>
    <row r="111" spans="1:10" x14ac:dyDescent="0.3">
      <c r="A111" s="138">
        <v>45052</v>
      </c>
      <c r="B111" s="135" t="s">
        <v>359</v>
      </c>
      <c r="C111" s="135" t="s">
        <v>360</v>
      </c>
      <c r="D111" s="135" t="s">
        <v>213</v>
      </c>
      <c r="E111" s="135" t="s">
        <v>224</v>
      </c>
      <c r="F111" s="135" t="s">
        <v>361</v>
      </c>
      <c r="G111" s="135">
        <v>3</v>
      </c>
      <c r="H111" s="137">
        <v>7</v>
      </c>
      <c r="I111" s="137">
        <v>21</v>
      </c>
      <c r="J111" s="135" t="s">
        <v>216</v>
      </c>
    </row>
    <row r="112" spans="1:10" x14ac:dyDescent="0.3">
      <c r="A112" s="138">
        <v>45052</v>
      </c>
      <c r="B112" s="135" t="s">
        <v>359</v>
      </c>
      <c r="C112" s="135" t="s">
        <v>319</v>
      </c>
      <c r="D112" s="135" t="s">
        <v>213</v>
      </c>
      <c r="E112" s="135" t="s">
        <v>214</v>
      </c>
      <c r="F112" s="135" t="s">
        <v>320</v>
      </c>
      <c r="G112" s="135">
        <v>1</v>
      </c>
      <c r="H112" s="137">
        <v>60</v>
      </c>
      <c r="I112" s="137">
        <v>60</v>
      </c>
      <c r="J112" s="135" t="s">
        <v>216</v>
      </c>
    </row>
    <row r="113" spans="1:10" x14ac:dyDescent="0.3">
      <c r="A113" s="138">
        <v>45052</v>
      </c>
      <c r="B113" s="135" t="s">
        <v>359</v>
      </c>
      <c r="C113" s="135" t="s">
        <v>362</v>
      </c>
      <c r="D113" s="135" t="s">
        <v>213</v>
      </c>
      <c r="E113" s="135" t="s">
        <v>221</v>
      </c>
      <c r="F113" s="135" t="s">
        <v>363</v>
      </c>
      <c r="G113" s="135">
        <v>1</v>
      </c>
      <c r="H113" s="137">
        <v>20</v>
      </c>
      <c r="I113" s="137">
        <v>20</v>
      </c>
      <c r="J113" s="135" t="s">
        <v>216</v>
      </c>
    </row>
    <row r="114" spans="1:10" x14ac:dyDescent="0.3">
      <c r="A114" s="138">
        <v>45053</v>
      </c>
      <c r="B114" s="135" t="s">
        <v>359</v>
      </c>
      <c r="C114" s="135" t="s">
        <v>365</v>
      </c>
      <c r="D114" s="135" t="s">
        <v>227</v>
      </c>
      <c r="E114" s="135" t="s">
        <v>228</v>
      </c>
      <c r="F114" s="135" t="s">
        <v>366</v>
      </c>
      <c r="G114" s="135">
        <v>1</v>
      </c>
      <c r="H114" s="137">
        <v>25</v>
      </c>
      <c r="I114" s="137">
        <v>25</v>
      </c>
      <c r="J114" s="135" t="s">
        <v>216</v>
      </c>
    </row>
    <row r="115" spans="1:10" x14ac:dyDescent="0.3">
      <c r="A115" s="138">
        <v>45053</v>
      </c>
      <c r="B115" s="135" t="s">
        <v>359</v>
      </c>
      <c r="C115" s="135" t="s">
        <v>364</v>
      </c>
      <c r="D115" s="135" t="s">
        <v>243</v>
      </c>
      <c r="E115" s="135" t="s">
        <v>244</v>
      </c>
      <c r="F115" s="135" t="s">
        <v>245</v>
      </c>
      <c r="G115" s="135">
        <v>2</v>
      </c>
      <c r="H115" s="137">
        <v>17</v>
      </c>
      <c r="I115" s="137">
        <v>34</v>
      </c>
      <c r="J115" s="135" t="s">
        <v>216</v>
      </c>
    </row>
    <row r="116" spans="1:10" x14ac:dyDescent="0.3">
      <c r="A116" s="138">
        <v>45054</v>
      </c>
      <c r="B116" s="135" t="s">
        <v>359</v>
      </c>
      <c r="C116" s="135" t="s">
        <v>238</v>
      </c>
      <c r="D116" s="135" t="s">
        <v>239</v>
      </c>
      <c r="E116" s="135" t="s">
        <v>240</v>
      </c>
      <c r="F116" s="135" t="s">
        <v>241</v>
      </c>
      <c r="G116" s="135">
        <v>1</v>
      </c>
      <c r="H116" s="137">
        <v>600</v>
      </c>
      <c r="I116" s="137">
        <v>600</v>
      </c>
      <c r="J116" s="135" t="s">
        <v>26</v>
      </c>
    </row>
    <row r="117" spans="1:10" x14ac:dyDescent="0.3">
      <c r="A117" s="138">
        <v>45054</v>
      </c>
      <c r="B117" s="135" t="s">
        <v>359</v>
      </c>
      <c r="C117" s="135" t="s">
        <v>226</v>
      </c>
      <c r="D117" s="135" t="s">
        <v>227</v>
      </c>
      <c r="E117" s="135" t="s">
        <v>228</v>
      </c>
      <c r="F117" s="135" t="s">
        <v>229</v>
      </c>
      <c r="G117" s="135">
        <v>1</v>
      </c>
      <c r="H117" s="137">
        <v>120</v>
      </c>
      <c r="I117" s="137">
        <v>120</v>
      </c>
      <c r="J117" s="135" t="s">
        <v>216</v>
      </c>
    </row>
    <row r="118" spans="1:10" x14ac:dyDescent="0.3">
      <c r="A118" s="138">
        <v>45056</v>
      </c>
      <c r="B118" s="135" t="s">
        <v>359</v>
      </c>
      <c r="C118" s="135" t="s">
        <v>253</v>
      </c>
      <c r="D118" s="135" t="s">
        <v>254</v>
      </c>
      <c r="E118" s="135" t="s">
        <v>255</v>
      </c>
      <c r="F118" s="135" t="s">
        <v>45</v>
      </c>
      <c r="G118" s="135">
        <v>1</v>
      </c>
      <c r="H118" s="137">
        <v>1100</v>
      </c>
      <c r="I118" s="137">
        <v>1100</v>
      </c>
      <c r="J118" s="135" t="s">
        <v>45</v>
      </c>
    </row>
    <row r="119" spans="1:10" x14ac:dyDescent="0.3">
      <c r="A119" s="138">
        <v>45056</v>
      </c>
      <c r="B119" s="135" t="s">
        <v>359</v>
      </c>
      <c r="C119" s="135" t="s">
        <v>256</v>
      </c>
      <c r="D119" s="135" t="s">
        <v>254</v>
      </c>
      <c r="E119" s="135" t="s">
        <v>257</v>
      </c>
      <c r="F119" s="135" t="s">
        <v>258</v>
      </c>
      <c r="G119" s="135">
        <v>1</v>
      </c>
      <c r="H119" s="137">
        <v>100</v>
      </c>
      <c r="I119" s="137">
        <v>100</v>
      </c>
      <c r="J119" s="135" t="s">
        <v>52</v>
      </c>
    </row>
    <row r="120" spans="1:10" x14ac:dyDescent="0.3">
      <c r="A120" s="138">
        <v>45059</v>
      </c>
      <c r="B120" s="135" t="s">
        <v>359</v>
      </c>
      <c r="C120" s="135" t="s">
        <v>338</v>
      </c>
      <c r="D120" s="135" t="s">
        <v>213</v>
      </c>
      <c r="E120" s="135" t="s">
        <v>224</v>
      </c>
      <c r="F120" s="135" t="s">
        <v>339</v>
      </c>
      <c r="G120" s="135">
        <v>2</v>
      </c>
      <c r="H120" s="137">
        <v>11.9</v>
      </c>
      <c r="I120" s="137">
        <v>23.8</v>
      </c>
      <c r="J120" s="135" t="s">
        <v>216</v>
      </c>
    </row>
    <row r="121" spans="1:10" x14ac:dyDescent="0.3">
      <c r="A121" s="138">
        <v>45059</v>
      </c>
      <c r="B121" s="135" t="s">
        <v>359</v>
      </c>
      <c r="C121" s="135" t="s">
        <v>249</v>
      </c>
      <c r="D121" s="135" t="s">
        <v>213</v>
      </c>
      <c r="E121" s="135" t="s">
        <v>214</v>
      </c>
      <c r="F121" s="135" t="s">
        <v>250</v>
      </c>
      <c r="G121" s="135">
        <v>2</v>
      </c>
      <c r="H121" s="137">
        <v>6</v>
      </c>
      <c r="I121" s="137">
        <v>12</v>
      </c>
      <c r="J121" s="135" t="s">
        <v>216</v>
      </c>
    </row>
    <row r="122" spans="1:10" x14ac:dyDescent="0.3">
      <c r="A122" s="138">
        <v>45059</v>
      </c>
      <c r="B122" s="135" t="s">
        <v>359</v>
      </c>
      <c r="C122" s="135" t="s">
        <v>367</v>
      </c>
      <c r="D122" s="135" t="s">
        <v>213</v>
      </c>
      <c r="E122" s="135" t="s">
        <v>221</v>
      </c>
      <c r="F122" s="135" t="s">
        <v>368</v>
      </c>
      <c r="G122" s="135">
        <v>1</v>
      </c>
      <c r="H122" s="137">
        <v>100</v>
      </c>
      <c r="I122" s="137">
        <v>100</v>
      </c>
      <c r="J122" s="135" t="s">
        <v>216</v>
      </c>
    </row>
    <row r="123" spans="1:10" x14ac:dyDescent="0.3">
      <c r="A123" s="138">
        <v>45061</v>
      </c>
      <c r="B123" s="135" t="s">
        <v>359</v>
      </c>
      <c r="C123" s="135" t="s">
        <v>217</v>
      </c>
      <c r="D123" s="135" t="s">
        <v>213</v>
      </c>
      <c r="E123" s="135" t="s">
        <v>218</v>
      </c>
      <c r="F123" s="135" t="s">
        <v>219</v>
      </c>
      <c r="G123" s="135">
        <v>1</v>
      </c>
      <c r="H123" s="137">
        <v>788</v>
      </c>
      <c r="I123" s="137">
        <v>788</v>
      </c>
      <c r="J123" s="135" t="s">
        <v>216</v>
      </c>
    </row>
    <row r="124" spans="1:10" x14ac:dyDescent="0.3">
      <c r="A124" s="138">
        <v>45061</v>
      </c>
      <c r="B124" s="135" t="s">
        <v>359</v>
      </c>
      <c r="C124" s="135" t="s">
        <v>259</v>
      </c>
      <c r="D124" s="135" t="s">
        <v>260</v>
      </c>
      <c r="E124" s="135" t="s">
        <v>261</v>
      </c>
      <c r="F124" s="135" t="s">
        <v>262</v>
      </c>
      <c r="G124" s="135">
        <v>1</v>
      </c>
      <c r="H124" s="137">
        <v>24</v>
      </c>
      <c r="I124" s="137">
        <v>24</v>
      </c>
      <c r="J124" s="135" t="s">
        <v>216</v>
      </c>
    </row>
    <row r="125" spans="1:10" x14ac:dyDescent="0.3">
      <c r="A125" s="138">
        <v>45066</v>
      </c>
      <c r="B125" s="135" t="s">
        <v>359</v>
      </c>
      <c r="C125" s="135" t="s">
        <v>267</v>
      </c>
      <c r="D125" s="135" t="s">
        <v>227</v>
      </c>
      <c r="E125" s="135" t="s">
        <v>268</v>
      </c>
      <c r="F125" s="135" t="s">
        <v>237</v>
      </c>
      <c r="G125" s="135">
        <v>1</v>
      </c>
      <c r="H125" s="137">
        <v>1200</v>
      </c>
      <c r="I125" s="137">
        <v>1200</v>
      </c>
      <c r="J125" s="135" t="s">
        <v>216</v>
      </c>
    </row>
    <row r="126" spans="1:10" x14ac:dyDescent="0.3">
      <c r="A126" s="138">
        <v>45066</v>
      </c>
      <c r="B126" s="135" t="s">
        <v>359</v>
      </c>
      <c r="C126" s="135" t="s">
        <v>369</v>
      </c>
      <c r="D126" s="135" t="s">
        <v>213</v>
      </c>
      <c r="E126" s="135" t="s">
        <v>224</v>
      </c>
      <c r="F126" s="135" t="s">
        <v>370</v>
      </c>
      <c r="G126" s="135">
        <v>1</v>
      </c>
      <c r="H126" s="137">
        <v>27</v>
      </c>
      <c r="I126" s="137">
        <v>27</v>
      </c>
      <c r="J126" s="135" t="s">
        <v>216</v>
      </c>
    </row>
    <row r="127" spans="1:10" x14ac:dyDescent="0.3">
      <c r="A127" s="138">
        <v>45066</v>
      </c>
      <c r="B127" s="135" t="s">
        <v>359</v>
      </c>
      <c r="C127" s="135" t="s">
        <v>371</v>
      </c>
      <c r="D127" s="135" t="s">
        <v>213</v>
      </c>
      <c r="E127" s="135" t="s">
        <v>224</v>
      </c>
      <c r="F127" s="135" t="s">
        <v>370</v>
      </c>
      <c r="G127" s="135">
        <v>1</v>
      </c>
      <c r="H127" s="137">
        <v>23</v>
      </c>
      <c r="I127" s="137">
        <v>23</v>
      </c>
      <c r="J127" s="135" t="s">
        <v>216</v>
      </c>
    </row>
    <row r="128" spans="1:10" x14ac:dyDescent="0.3">
      <c r="A128" s="138">
        <v>45066</v>
      </c>
      <c r="B128" s="135" t="s">
        <v>359</v>
      </c>
      <c r="C128" s="135" t="s">
        <v>278</v>
      </c>
      <c r="D128" s="135" t="s">
        <v>213</v>
      </c>
      <c r="E128" s="135" t="s">
        <v>221</v>
      </c>
      <c r="F128" s="135" t="s">
        <v>372</v>
      </c>
      <c r="G128" s="135">
        <v>1</v>
      </c>
      <c r="H128" s="137">
        <v>60</v>
      </c>
      <c r="I128" s="137">
        <v>60</v>
      </c>
      <c r="J128" s="135" t="s">
        <v>216</v>
      </c>
    </row>
    <row r="129" spans="1:10" x14ac:dyDescent="0.3">
      <c r="A129" s="138">
        <v>45067</v>
      </c>
      <c r="B129" s="135" t="s">
        <v>359</v>
      </c>
      <c r="C129" s="135" t="s">
        <v>373</v>
      </c>
      <c r="D129" s="135" t="s">
        <v>298</v>
      </c>
      <c r="E129" s="135" t="s">
        <v>315</v>
      </c>
      <c r="F129" s="135" t="s">
        <v>374</v>
      </c>
      <c r="G129" s="135">
        <v>1</v>
      </c>
      <c r="H129" s="137">
        <v>100</v>
      </c>
      <c r="I129" s="137">
        <v>100</v>
      </c>
      <c r="J129" s="135" t="s">
        <v>216</v>
      </c>
    </row>
    <row r="130" spans="1:10" x14ac:dyDescent="0.3">
      <c r="A130" s="138">
        <v>45067</v>
      </c>
      <c r="B130" s="135" t="s">
        <v>359</v>
      </c>
      <c r="C130" s="135" t="s">
        <v>375</v>
      </c>
      <c r="D130" s="135" t="s">
        <v>227</v>
      </c>
      <c r="E130" s="135" t="s">
        <v>273</v>
      </c>
      <c r="F130" s="135" t="s">
        <v>376</v>
      </c>
      <c r="G130" s="135">
        <v>1</v>
      </c>
      <c r="H130" s="137">
        <v>35</v>
      </c>
      <c r="I130" s="137">
        <v>35</v>
      </c>
      <c r="J130" s="135" t="s">
        <v>216</v>
      </c>
    </row>
    <row r="131" spans="1:10" x14ac:dyDescent="0.3">
      <c r="A131" s="138">
        <v>45070</v>
      </c>
      <c r="B131" s="135" t="s">
        <v>359</v>
      </c>
      <c r="C131" s="135" t="s">
        <v>280</v>
      </c>
      <c r="D131" s="135" t="s">
        <v>254</v>
      </c>
      <c r="E131" s="135" t="s">
        <v>255</v>
      </c>
      <c r="F131" s="135" t="s">
        <v>281</v>
      </c>
      <c r="G131" s="135">
        <v>1</v>
      </c>
      <c r="H131" s="137">
        <v>500</v>
      </c>
      <c r="I131" s="137">
        <v>500</v>
      </c>
      <c r="J131" s="135" t="s">
        <v>49</v>
      </c>
    </row>
    <row r="132" spans="1:10" x14ac:dyDescent="0.3">
      <c r="A132" s="138">
        <v>45071</v>
      </c>
      <c r="B132" s="135" t="s">
        <v>359</v>
      </c>
      <c r="C132" s="135" t="s">
        <v>282</v>
      </c>
      <c r="D132" s="135" t="s">
        <v>260</v>
      </c>
      <c r="E132" s="135" t="s">
        <v>283</v>
      </c>
      <c r="F132" s="135" t="s">
        <v>284</v>
      </c>
      <c r="G132" s="135">
        <v>1</v>
      </c>
      <c r="H132" s="137">
        <v>90</v>
      </c>
      <c r="I132" s="137">
        <v>90</v>
      </c>
      <c r="J132" s="135" t="s">
        <v>216</v>
      </c>
    </row>
    <row r="133" spans="1:10" x14ac:dyDescent="0.3">
      <c r="A133" s="138">
        <v>45072</v>
      </c>
      <c r="B133" s="135" t="s">
        <v>359</v>
      </c>
      <c r="C133" s="135" t="s">
        <v>377</v>
      </c>
      <c r="D133" s="135" t="s">
        <v>227</v>
      </c>
      <c r="E133" s="135" t="s">
        <v>273</v>
      </c>
      <c r="F133" s="135" t="s">
        <v>376</v>
      </c>
      <c r="G133" s="135">
        <v>1</v>
      </c>
      <c r="H133" s="137">
        <v>35</v>
      </c>
      <c r="I133" s="137">
        <v>35</v>
      </c>
      <c r="J133" s="135" t="s">
        <v>216</v>
      </c>
    </row>
    <row r="134" spans="1:10" x14ac:dyDescent="0.3">
      <c r="A134" s="138">
        <v>45073</v>
      </c>
      <c r="B134" s="135" t="s">
        <v>359</v>
      </c>
      <c r="C134" s="135" t="s">
        <v>285</v>
      </c>
      <c r="D134" s="135" t="s">
        <v>260</v>
      </c>
      <c r="E134" s="135" t="s">
        <v>286</v>
      </c>
      <c r="F134" s="135" t="s">
        <v>287</v>
      </c>
      <c r="G134" s="135">
        <v>1</v>
      </c>
      <c r="H134" s="137">
        <v>100</v>
      </c>
      <c r="I134" s="137">
        <v>100</v>
      </c>
      <c r="J134" s="135" t="s">
        <v>288</v>
      </c>
    </row>
    <row r="135" spans="1:10" x14ac:dyDescent="0.3">
      <c r="A135" s="138">
        <v>45078</v>
      </c>
      <c r="B135" s="135" t="s">
        <v>378</v>
      </c>
      <c r="C135" s="135" t="s">
        <v>217</v>
      </c>
      <c r="D135" s="135" t="s">
        <v>213</v>
      </c>
      <c r="E135" s="135" t="s">
        <v>218</v>
      </c>
      <c r="F135" s="135" t="s">
        <v>219</v>
      </c>
      <c r="G135" s="135">
        <v>1</v>
      </c>
      <c r="H135" s="137">
        <v>730</v>
      </c>
      <c r="I135" s="137">
        <v>730</v>
      </c>
      <c r="J135" s="135" t="s">
        <v>216</v>
      </c>
    </row>
    <row r="136" spans="1:10" x14ac:dyDescent="0.3">
      <c r="A136" s="138">
        <v>45080</v>
      </c>
      <c r="B136" s="135" t="s">
        <v>378</v>
      </c>
      <c r="C136" s="135" t="s">
        <v>379</v>
      </c>
      <c r="D136" s="135" t="s">
        <v>213</v>
      </c>
      <c r="E136" s="135" t="s">
        <v>214</v>
      </c>
      <c r="F136" s="135" t="s">
        <v>380</v>
      </c>
      <c r="G136" s="135">
        <v>1</v>
      </c>
      <c r="H136" s="137">
        <v>20</v>
      </c>
      <c r="I136" s="137">
        <v>20</v>
      </c>
      <c r="J136" s="135" t="s">
        <v>216</v>
      </c>
    </row>
    <row r="137" spans="1:10" x14ac:dyDescent="0.3">
      <c r="A137" s="138">
        <v>45080</v>
      </c>
      <c r="B137" s="135" t="s">
        <v>378</v>
      </c>
      <c r="C137" s="135" t="s">
        <v>381</v>
      </c>
      <c r="D137" s="135" t="s">
        <v>213</v>
      </c>
      <c r="E137" s="135" t="s">
        <v>224</v>
      </c>
      <c r="F137" s="135" t="s">
        <v>382</v>
      </c>
      <c r="G137" s="135">
        <v>2</v>
      </c>
      <c r="H137" s="137">
        <v>16</v>
      </c>
      <c r="I137" s="137">
        <v>32</v>
      </c>
      <c r="J137" s="135" t="s">
        <v>216</v>
      </c>
    </row>
    <row r="138" spans="1:10" x14ac:dyDescent="0.3">
      <c r="A138" s="138">
        <v>45080</v>
      </c>
      <c r="B138" s="135" t="s">
        <v>378</v>
      </c>
      <c r="C138" s="135" t="s">
        <v>383</v>
      </c>
      <c r="D138" s="135" t="s">
        <v>213</v>
      </c>
      <c r="E138" s="135" t="s">
        <v>214</v>
      </c>
      <c r="F138" s="135" t="s">
        <v>380</v>
      </c>
      <c r="G138" s="135">
        <v>1</v>
      </c>
      <c r="H138" s="137">
        <v>5.5</v>
      </c>
      <c r="I138" s="137">
        <v>5.5</v>
      </c>
      <c r="J138" s="135" t="s">
        <v>216</v>
      </c>
    </row>
    <row r="139" spans="1:10" x14ac:dyDescent="0.3">
      <c r="A139" s="138">
        <v>45082</v>
      </c>
      <c r="B139" s="135" t="s">
        <v>378</v>
      </c>
      <c r="C139" s="135" t="s">
        <v>234</v>
      </c>
      <c r="D139" s="135" t="s">
        <v>235</v>
      </c>
      <c r="E139" s="135" t="s">
        <v>236</v>
      </c>
      <c r="F139" s="135" t="s">
        <v>237</v>
      </c>
      <c r="G139" s="135">
        <v>1</v>
      </c>
      <c r="H139" s="137">
        <v>1600</v>
      </c>
      <c r="I139" s="137">
        <v>1600</v>
      </c>
      <c r="J139" s="135" t="s">
        <v>216</v>
      </c>
    </row>
    <row r="140" spans="1:10" x14ac:dyDescent="0.3">
      <c r="A140" s="138">
        <v>45082</v>
      </c>
      <c r="B140" s="135" t="s">
        <v>378</v>
      </c>
      <c r="C140" s="135" t="s">
        <v>384</v>
      </c>
      <c r="D140" s="135" t="s">
        <v>298</v>
      </c>
      <c r="E140" s="135" t="s">
        <v>385</v>
      </c>
      <c r="F140" s="135" t="s">
        <v>386</v>
      </c>
      <c r="G140" s="135">
        <v>1</v>
      </c>
      <c r="H140" s="137">
        <v>4000</v>
      </c>
      <c r="I140" s="137">
        <v>4000</v>
      </c>
      <c r="J140" s="135" t="s">
        <v>288</v>
      </c>
    </row>
    <row r="141" spans="1:10" x14ac:dyDescent="0.3">
      <c r="A141" s="138">
        <v>45085</v>
      </c>
      <c r="B141" s="135" t="s">
        <v>378</v>
      </c>
      <c r="C141" s="135" t="s">
        <v>238</v>
      </c>
      <c r="D141" s="135" t="s">
        <v>239</v>
      </c>
      <c r="E141" s="135" t="s">
        <v>240</v>
      </c>
      <c r="F141" s="135" t="s">
        <v>241</v>
      </c>
      <c r="G141" s="135">
        <v>1</v>
      </c>
      <c r="H141" s="137">
        <v>600</v>
      </c>
      <c r="I141" s="137">
        <v>600</v>
      </c>
      <c r="J141" s="135" t="s">
        <v>26</v>
      </c>
    </row>
    <row r="142" spans="1:10" x14ac:dyDescent="0.3">
      <c r="A142" s="138">
        <v>45085</v>
      </c>
      <c r="B142" s="135" t="s">
        <v>378</v>
      </c>
      <c r="C142" s="135" t="s">
        <v>387</v>
      </c>
      <c r="D142" s="135" t="s">
        <v>243</v>
      </c>
      <c r="E142" s="135" t="s">
        <v>388</v>
      </c>
      <c r="F142" s="135" t="s">
        <v>389</v>
      </c>
      <c r="G142" s="135">
        <v>3</v>
      </c>
      <c r="H142" s="137">
        <v>60</v>
      </c>
      <c r="I142" s="137">
        <v>180</v>
      </c>
      <c r="J142" s="135" t="s">
        <v>216</v>
      </c>
    </row>
    <row r="143" spans="1:10" x14ac:dyDescent="0.3">
      <c r="A143" s="138">
        <v>45085</v>
      </c>
      <c r="B143" s="135" t="s">
        <v>378</v>
      </c>
      <c r="C143" s="135" t="s">
        <v>226</v>
      </c>
      <c r="D143" s="135" t="s">
        <v>227</v>
      </c>
      <c r="E143" s="135" t="s">
        <v>228</v>
      </c>
      <c r="F143" s="135" t="s">
        <v>229</v>
      </c>
      <c r="G143" s="135">
        <v>1</v>
      </c>
      <c r="H143" s="137">
        <v>100</v>
      </c>
      <c r="I143" s="137">
        <v>100</v>
      </c>
      <c r="J143" s="135" t="s">
        <v>216</v>
      </c>
    </row>
    <row r="144" spans="1:10" x14ac:dyDescent="0.3">
      <c r="A144" s="138">
        <v>45087</v>
      </c>
      <c r="B144" s="135" t="s">
        <v>378</v>
      </c>
      <c r="C144" s="135" t="s">
        <v>390</v>
      </c>
      <c r="D144" s="135" t="s">
        <v>213</v>
      </c>
      <c r="E144" s="135" t="s">
        <v>221</v>
      </c>
      <c r="F144" s="135" t="s">
        <v>391</v>
      </c>
      <c r="G144" s="135">
        <v>1</v>
      </c>
      <c r="H144" s="137">
        <v>129</v>
      </c>
      <c r="I144" s="137">
        <v>129</v>
      </c>
      <c r="J144" s="135" t="s">
        <v>216</v>
      </c>
    </row>
    <row r="145" spans="1:10" x14ac:dyDescent="0.3">
      <c r="A145" s="138">
        <v>45087</v>
      </c>
      <c r="B145" s="135" t="s">
        <v>378</v>
      </c>
      <c r="C145" s="135" t="s">
        <v>253</v>
      </c>
      <c r="D145" s="135" t="s">
        <v>254</v>
      </c>
      <c r="E145" s="135" t="s">
        <v>255</v>
      </c>
      <c r="F145" s="135" t="s">
        <v>45</v>
      </c>
      <c r="G145" s="135">
        <v>1</v>
      </c>
      <c r="H145" s="137">
        <v>1100</v>
      </c>
      <c r="I145" s="137">
        <v>1100</v>
      </c>
      <c r="J145" s="135" t="s">
        <v>45</v>
      </c>
    </row>
    <row r="146" spans="1:10" x14ac:dyDescent="0.3">
      <c r="A146" s="138">
        <v>45087</v>
      </c>
      <c r="B146" s="135" t="s">
        <v>378</v>
      </c>
      <c r="C146" s="135" t="s">
        <v>223</v>
      </c>
      <c r="D146" s="135" t="s">
        <v>213</v>
      </c>
      <c r="E146" s="135" t="s">
        <v>224</v>
      </c>
      <c r="F146" s="135" t="s">
        <v>225</v>
      </c>
      <c r="G146" s="135">
        <v>3</v>
      </c>
      <c r="H146" s="137">
        <v>9</v>
      </c>
      <c r="I146" s="137">
        <v>27</v>
      </c>
      <c r="J146" s="135" t="s">
        <v>216</v>
      </c>
    </row>
    <row r="147" spans="1:10" x14ac:dyDescent="0.3">
      <c r="A147" s="138">
        <v>45087</v>
      </c>
      <c r="B147" s="135" t="s">
        <v>378</v>
      </c>
      <c r="C147" s="135" t="s">
        <v>392</v>
      </c>
      <c r="D147" s="135" t="s">
        <v>213</v>
      </c>
      <c r="E147" s="135" t="s">
        <v>221</v>
      </c>
      <c r="F147" s="135" t="s">
        <v>391</v>
      </c>
      <c r="G147" s="135">
        <v>1</v>
      </c>
      <c r="H147" s="137">
        <v>99</v>
      </c>
      <c r="I147" s="137">
        <v>99</v>
      </c>
      <c r="J147" s="135" t="s">
        <v>216</v>
      </c>
    </row>
    <row r="148" spans="1:10" x14ac:dyDescent="0.3">
      <c r="A148" s="138">
        <v>45087</v>
      </c>
      <c r="B148" s="135" t="s">
        <v>378</v>
      </c>
      <c r="C148" s="135" t="s">
        <v>256</v>
      </c>
      <c r="D148" s="135" t="s">
        <v>254</v>
      </c>
      <c r="E148" s="135" t="s">
        <v>257</v>
      </c>
      <c r="F148" s="135" t="s">
        <v>258</v>
      </c>
      <c r="G148" s="135">
        <v>1</v>
      </c>
      <c r="H148" s="137">
        <v>100</v>
      </c>
      <c r="I148" s="137">
        <v>100</v>
      </c>
      <c r="J148" s="135" t="s">
        <v>52</v>
      </c>
    </row>
    <row r="149" spans="1:10" x14ac:dyDescent="0.3">
      <c r="A149" s="138">
        <v>45092</v>
      </c>
      <c r="B149" s="135" t="s">
        <v>378</v>
      </c>
      <c r="C149" s="135" t="s">
        <v>217</v>
      </c>
      <c r="D149" s="135" t="s">
        <v>213</v>
      </c>
      <c r="E149" s="135" t="s">
        <v>218</v>
      </c>
      <c r="F149" s="135" t="s">
        <v>219</v>
      </c>
      <c r="G149" s="135">
        <v>1</v>
      </c>
      <c r="H149" s="137">
        <v>810</v>
      </c>
      <c r="I149" s="137">
        <v>810</v>
      </c>
      <c r="J149" s="135" t="s">
        <v>216</v>
      </c>
    </row>
    <row r="150" spans="1:10" x14ac:dyDescent="0.3">
      <c r="A150" s="138">
        <v>45092</v>
      </c>
      <c r="B150" s="135" t="s">
        <v>378</v>
      </c>
      <c r="C150" s="135" t="s">
        <v>259</v>
      </c>
      <c r="D150" s="135" t="s">
        <v>260</v>
      </c>
      <c r="E150" s="135" t="s">
        <v>261</v>
      </c>
      <c r="F150" s="135" t="s">
        <v>262</v>
      </c>
      <c r="G150" s="135">
        <v>1</v>
      </c>
      <c r="H150" s="137">
        <v>28</v>
      </c>
      <c r="I150" s="137">
        <v>28</v>
      </c>
      <c r="J150" s="135" t="s">
        <v>216</v>
      </c>
    </row>
    <row r="151" spans="1:10" x14ac:dyDescent="0.3">
      <c r="A151" s="138">
        <v>45094</v>
      </c>
      <c r="B151" s="135" t="s">
        <v>378</v>
      </c>
      <c r="C151" s="135" t="s">
        <v>360</v>
      </c>
      <c r="D151" s="135" t="s">
        <v>213</v>
      </c>
      <c r="E151" s="135" t="s">
        <v>214</v>
      </c>
      <c r="F151" s="135" t="s">
        <v>361</v>
      </c>
      <c r="G151" s="135">
        <v>3</v>
      </c>
      <c r="H151" s="137">
        <v>7</v>
      </c>
      <c r="I151" s="137">
        <v>21</v>
      </c>
      <c r="J151" s="135" t="s">
        <v>216</v>
      </c>
    </row>
    <row r="152" spans="1:10" x14ac:dyDescent="0.3">
      <c r="A152" s="138">
        <v>45094</v>
      </c>
      <c r="B152" s="135" t="s">
        <v>378</v>
      </c>
      <c r="C152" s="135" t="s">
        <v>303</v>
      </c>
      <c r="D152" s="135" t="s">
        <v>213</v>
      </c>
      <c r="E152" s="135" t="s">
        <v>224</v>
      </c>
      <c r="F152" s="135" t="s">
        <v>304</v>
      </c>
      <c r="G152" s="135">
        <v>3</v>
      </c>
      <c r="H152" s="137">
        <v>6</v>
      </c>
      <c r="I152" s="137">
        <v>18</v>
      </c>
      <c r="J152" s="135" t="s">
        <v>216</v>
      </c>
    </row>
    <row r="153" spans="1:10" x14ac:dyDescent="0.3">
      <c r="A153" s="138">
        <v>45094</v>
      </c>
      <c r="B153" s="135" t="s">
        <v>378</v>
      </c>
      <c r="C153" s="135" t="s">
        <v>393</v>
      </c>
      <c r="D153" s="135" t="s">
        <v>213</v>
      </c>
      <c r="E153" s="135" t="s">
        <v>221</v>
      </c>
      <c r="F153" s="135" t="s">
        <v>394</v>
      </c>
      <c r="G153" s="135">
        <v>2</v>
      </c>
      <c r="H153" s="137">
        <v>24.9</v>
      </c>
      <c r="I153" s="137">
        <v>49.8</v>
      </c>
      <c r="J153" s="135" t="s">
        <v>216</v>
      </c>
    </row>
    <row r="154" spans="1:10" x14ac:dyDescent="0.3">
      <c r="A154" s="138">
        <v>45097</v>
      </c>
      <c r="B154" s="135" t="s">
        <v>378</v>
      </c>
      <c r="C154" s="135" t="s">
        <v>267</v>
      </c>
      <c r="D154" s="135" t="s">
        <v>227</v>
      </c>
      <c r="E154" s="135" t="s">
        <v>268</v>
      </c>
      <c r="F154" s="135" t="s">
        <v>237</v>
      </c>
      <c r="G154" s="135">
        <v>1</v>
      </c>
      <c r="H154" s="137">
        <v>1200</v>
      </c>
      <c r="I154" s="137">
        <v>1200</v>
      </c>
      <c r="J154" s="135" t="s">
        <v>216</v>
      </c>
    </row>
    <row r="155" spans="1:10" x14ac:dyDescent="0.3">
      <c r="A155" s="138">
        <v>45099</v>
      </c>
      <c r="B155" s="135" t="s">
        <v>378</v>
      </c>
      <c r="C155" s="135" t="s">
        <v>395</v>
      </c>
      <c r="D155" s="135" t="s">
        <v>243</v>
      </c>
      <c r="E155" s="135" t="s">
        <v>315</v>
      </c>
      <c r="F155" s="135" t="s">
        <v>396</v>
      </c>
      <c r="G155" s="135">
        <v>1</v>
      </c>
      <c r="H155" s="137">
        <v>30</v>
      </c>
      <c r="I155" s="137">
        <v>30</v>
      </c>
      <c r="J155" s="135" t="s">
        <v>216</v>
      </c>
    </row>
    <row r="156" spans="1:10" x14ac:dyDescent="0.3">
      <c r="A156" s="138">
        <v>45099</v>
      </c>
      <c r="B156" s="135" t="s">
        <v>378</v>
      </c>
      <c r="C156" s="135" t="s">
        <v>301</v>
      </c>
      <c r="D156" s="135" t="s">
        <v>227</v>
      </c>
      <c r="E156" s="135" t="s">
        <v>228</v>
      </c>
      <c r="F156" s="135" t="s">
        <v>355</v>
      </c>
      <c r="G156" s="135">
        <v>1</v>
      </c>
      <c r="H156" s="137">
        <v>4</v>
      </c>
      <c r="I156" s="137">
        <v>4</v>
      </c>
      <c r="J156" s="135" t="s">
        <v>216</v>
      </c>
    </row>
    <row r="157" spans="1:10" x14ac:dyDescent="0.3">
      <c r="A157" s="138">
        <v>45101</v>
      </c>
      <c r="B157" s="135" t="s">
        <v>378</v>
      </c>
      <c r="C157" s="135" t="s">
        <v>226</v>
      </c>
      <c r="D157" s="135" t="s">
        <v>227</v>
      </c>
      <c r="E157" s="135" t="s">
        <v>228</v>
      </c>
      <c r="F157" s="135" t="s">
        <v>229</v>
      </c>
      <c r="G157" s="135">
        <v>1</v>
      </c>
      <c r="H157" s="137">
        <v>120</v>
      </c>
      <c r="I157" s="137">
        <v>120</v>
      </c>
      <c r="J157" s="135" t="s">
        <v>216</v>
      </c>
    </row>
    <row r="158" spans="1:10" x14ac:dyDescent="0.3">
      <c r="A158" s="138">
        <v>45101</v>
      </c>
      <c r="B158" s="135" t="s">
        <v>378</v>
      </c>
      <c r="C158" s="135" t="s">
        <v>280</v>
      </c>
      <c r="D158" s="135" t="s">
        <v>254</v>
      </c>
      <c r="E158" s="135" t="s">
        <v>255</v>
      </c>
      <c r="F158" s="135" t="s">
        <v>281</v>
      </c>
      <c r="G158" s="135">
        <v>1</v>
      </c>
      <c r="H158" s="137">
        <v>500</v>
      </c>
      <c r="I158" s="137">
        <v>500</v>
      </c>
      <c r="J158" s="135" t="s">
        <v>49</v>
      </c>
    </row>
    <row r="159" spans="1:10" x14ac:dyDescent="0.3">
      <c r="A159" s="138">
        <v>45102</v>
      </c>
      <c r="B159" s="135" t="s">
        <v>378</v>
      </c>
      <c r="C159" s="135" t="s">
        <v>282</v>
      </c>
      <c r="D159" s="135" t="s">
        <v>260</v>
      </c>
      <c r="E159" s="135" t="s">
        <v>283</v>
      </c>
      <c r="F159" s="135" t="s">
        <v>284</v>
      </c>
      <c r="G159" s="135">
        <v>1</v>
      </c>
      <c r="H159" s="137">
        <v>70</v>
      </c>
      <c r="I159" s="137">
        <v>70</v>
      </c>
      <c r="J159" s="135" t="s">
        <v>216</v>
      </c>
    </row>
    <row r="160" spans="1:10" x14ac:dyDescent="0.3">
      <c r="A160" s="138">
        <v>45104</v>
      </c>
      <c r="B160" s="135" t="s">
        <v>378</v>
      </c>
      <c r="C160" s="135" t="s">
        <v>285</v>
      </c>
      <c r="D160" s="135" t="s">
        <v>260</v>
      </c>
      <c r="E160" s="135" t="s">
        <v>286</v>
      </c>
      <c r="F160" s="135" t="s">
        <v>287</v>
      </c>
      <c r="G160" s="135">
        <v>1</v>
      </c>
      <c r="H160" s="137">
        <v>100</v>
      </c>
      <c r="I160" s="137">
        <v>100</v>
      </c>
      <c r="J160" s="135" t="s">
        <v>288</v>
      </c>
    </row>
    <row r="161" spans="1:10" x14ac:dyDescent="0.3">
      <c r="A161" s="138">
        <v>45108</v>
      </c>
      <c r="B161" s="135" t="s">
        <v>397</v>
      </c>
      <c r="C161" s="135" t="s">
        <v>220</v>
      </c>
      <c r="D161" s="135" t="s">
        <v>213</v>
      </c>
      <c r="E161" s="135" t="s">
        <v>221</v>
      </c>
      <c r="F161" s="135" t="s">
        <v>222</v>
      </c>
      <c r="G161" s="135">
        <v>1</v>
      </c>
      <c r="H161" s="137">
        <v>70</v>
      </c>
      <c r="I161" s="137">
        <v>70</v>
      </c>
      <c r="J161" s="135" t="s">
        <v>216</v>
      </c>
    </row>
    <row r="162" spans="1:10" x14ac:dyDescent="0.3">
      <c r="A162" s="138">
        <v>45108</v>
      </c>
      <c r="B162" s="135" t="s">
        <v>397</v>
      </c>
      <c r="C162" s="135" t="s">
        <v>212</v>
      </c>
      <c r="D162" s="135" t="s">
        <v>213</v>
      </c>
      <c r="E162" s="135" t="s">
        <v>214</v>
      </c>
      <c r="F162" s="135" t="s">
        <v>215</v>
      </c>
      <c r="G162" s="135">
        <v>1</v>
      </c>
      <c r="H162" s="137">
        <v>9.9</v>
      </c>
      <c r="I162" s="137">
        <v>9.9</v>
      </c>
      <c r="J162" s="135" t="s">
        <v>216</v>
      </c>
    </row>
    <row r="163" spans="1:10" x14ac:dyDescent="0.3">
      <c r="A163" s="138">
        <v>45108</v>
      </c>
      <c r="B163" s="135" t="s">
        <v>397</v>
      </c>
      <c r="C163" s="135" t="s">
        <v>217</v>
      </c>
      <c r="D163" s="135" t="s">
        <v>213</v>
      </c>
      <c r="E163" s="135" t="s">
        <v>218</v>
      </c>
      <c r="F163" s="135" t="s">
        <v>219</v>
      </c>
      <c r="G163" s="135">
        <v>1</v>
      </c>
      <c r="H163" s="137">
        <v>790</v>
      </c>
      <c r="I163" s="137">
        <v>790</v>
      </c>
      <c r="J163" s="135" t="s">
        <v>216</v>
      </c>
    </row>
    <row r="164" spans="1:10" x14ac:dyDescent="0.3">
      <c r="A164" s="138">
        <v>45108</v>
      </c>
      <c r="B164" s="135" t="s">
        <v>397</v>
      </c>
      <c r="C164" s="135" t="s">
        <v>223</v>
      </c>
      <c r="D164" s="135" t="s">
        <v>213</v>
      </c>
      <c r="E164" s="135" t="s">
        <v>224</v>
      </c>
      <c r="F164" s="135" t="s">
        <v>225</v>
      </c>
      <c r="G164" s="135">
        <v>3</v>
      </c>
      <c r="H164" s="137">
        <v>9</v>
      </c>
      <c r="I164" s="137">
        <v>27</v>
      </c>
      <c r="J164" s="135" t="s">
        <v>216</v>
      </c>
    </row>
    <row r="165" spans="1:10" x14ac:dyDescent="0.3">
      <c r="A165" s="138">
        <v>45111</v>
      </c>
      <c r="B165" s="135" t="s">
        <v>397</v>
      </c>
      <c r="C165" s="135" t="s">
        <v>230</v>
      </c>
      <c r="D165" s="135" t="s">
        <v>231</v>
      </c>
      <c r="E165" s="135" t="s">
        <v>232</v>
      </c>
      <c r="F165" s="135" t="s">
        <v>233</v>
      </c>
      <c r="G165" s="135">
        <v>1</v>
      </c>
      <c r="H165" s="137">
        <v>1000</v>
      </c>
      <c r="I165" s="137">
        <v>1000</v>
      </c>
      <c r="J165" s="135" t="s">
        <v>50</v>
      </c>
    </row>
    <row r="166" spans="1:10" x14ac:dyDescent="0.3">
      <c r="A166" s="138">
        <v>45111</v>
      </c>
      <c r="B166" s="135" t="s">
        <v>397</v>
      </c>
      <c r="C166" s="135" t="s">
        <v>398</v>
      </c>
      <c r="D166" s="135" t="s">
        <v>243</v>
      </c>
      <c r="E166" s="135" t="s">
        <v>244</v>
      </c>
      <c r="F166" s="135" t="s">
        <v>245</v>
      </c>
      <c r="G166" s="135">
        <v>3</v>
      </c>
      <c r="H166" s="137">
        <v>17</v>
      </c>
      <c r="I166" s="137">
        <v>51</v>
      </c>
      <c r="J166" s="135" t="s">
        <v>216</v>
      </c>
    </row>
    <row r="167" spans="1:10" x14ac:dyDescent="0.3">
      <c r="A167" s="138">
        <v>45112</v>
      </c>
      <c r="B167" s="135" t="s">
        <v>397</v>
      </c>
      <c r="C167" s="135" t="s">
        <v>234</v>
      </c>
      <c r="D167" s="135" t="s">
        <v>235</v>
      </c>
      <c r="E167" s="135" t="s">
        <v>236</v>
      </c>
      <c r="F167" s="135" t="s">
        <v>237</v>
      </c>
      <c r="G167" s="135">
        <v>1</v>
      </c>
      <c r="H167" s="137">
        <v>1600</v>
      </c>
      <c r="I167" s="137">
        <v>1600</v>
      </c>
      <c r="J167" s="135" t="s">
        <v>216</v>
      </c>
    </row>
    <row r="168" spans="1:10" x14ac:dyDescent="0.3">
      <c r="A168" s="138">
        <v>45114</v>
      </c>
      <c r="B168" s="135" t="s">
        <v>397</v>
      </c>
      <c r="C168" s="135" t="s">
        <v>272</v>
      </c>
      <c r="D168" s="135" t="s">
        <v>227</v>
      </c>
      <c r="E168" s="135" t="s">
        <v>273</v>
      </c>
      <c r="F168" s="135" t="s">
        <v>274</v>
      </c>
      <c r="G168" s="135">
        <v>3</v>
      </c>
      <c r="H168" s="137">
        <v>5</v>
      </c>
      <c r="I168" s="137">
        <v>15</v>
      </c>
      <c r="J168" s="135" t="s">
        <v>216</v>
      </c>
    </row>
    <row r="169" spans="1:10" x14ac:dyDescent="0.3">
      <c r="A169" s="138">
        <v>45115</v>
      </c>
      <c r="B169" s="135" t="s">
        <v>397</v>
      </c>
      <c r="C169" s="135" t="s">
        <v>247</v>
      </c>
      <c r="D169" s="135" t="s">
        <v>213</v>
      </c>
      <c r="E169" s="135" t="s">
        <v>214</v>
      </c>
      <c r="F169" s="135" t="s">
        <v>248</v>
      </c>
      <c r="G169" s="135">
        <v>3</v>
      </c>
      <c r="H169" s="137">
        <v>15</v>
      </c>
      <c r="I169" s="137">
        <v>45</v>
      </c>
      <c r="J169" s="135" t="s">
        <v>216</v>
      </c>
    </row>
    <row r="170" spans="1:10" x14ac:dyDescent="0.3">
      <c r="A170" s="138">
        <v>45115</v>
      </c>
      <c r="B170" s="135" t="s">
        <v>397</v>
      </c>
      <c r="C170" s="135" t="s">
        <v>249</v>
      </c>
      <c r="D170" s="135" t="s">
        <v>213</v>
      </c>
      <c r="E170" s="135" t="s">
        <v>224</v>
      </c>
      <c r="F170" s="135" t="s">
        <v>250</v>
      </c>
      <c r="G170" s="135">
        <v>3</v>
      </c>
      <c r="H170" s="137">
        <v>6</v>
      </c>
      <c r="I170" s="137">
        <v>18</v>
      </c>
      <c r="J170" s="135" t="s">
        <v>216</v>
      </c>
    </row>
    <row r="171" spans="1:10" x14ac:dyDescent="0.3">
      <c r="A171" s="138">
        <v>45115</v>
      </c>
      <c r="B171" s="135" t="s">
        <v>397</v>
      </c>
      <c r="C171" s="135" t="s">
        <v>238</v>
      </c>
      <c r="D171" s="135" t="s">
        <v>239</v>
      </c>
      <c r="E171" s="135" t="s">
        <v>240</v>
      </c>
      <c r="F171" s="135" t="s">
        <v>241</v>
      </c>
      <c r="G171" s="135">
        <v>1</v>
      </c>
      <c r="H171" s="137">
        <v>600</v>
      </c>
      <c r="I171" s="137">
        <v>600</v>
      </c>
      <c r="J171" s="135" t="s">
        <v>26</v>
      </c>
    </row>
    <row r="172" spans="1:10" x14ac:dyDescent="0.3">
      <c r="A172" s="138">
        <v>45115</v>
      </c>
      <c r="B172" s="135" t="s">
        <v>397</v>
      </c>
      <c r="C172" s="135" t="s">
        <v>251</v>
      </c>
      <c r="D172" s="135" t="s">
        <v>213</v>
      </c>
      <c r="E172" s="135" t="s">
        <v>221</v>
      </c>
      <c r="F172" s="135" t="s">
        <v>252</v>
      </c>
      <c r="G172" s="135">
        <v>3</v>
      </c>
      <c r="H172" s="137">
        <v>35</v>
      </c>
      <c r="I172" s="137">
        <v>105</v>
      </c>
      <c r="J172" s="135" t="s">
        <v>216</v>
      </c>
    </row>
    <row r="173" spans="1:10" x14ac:dyDescent="0.3">
      <c r="A173" s="138">
        <v>45116</v>
      </c>
      <c r="B173" s="135" t="s">
        <v>397</v>
      </c>
      <c r="C173" s="135" t="s">
        <v>301</v>
      </c>
      <c r="D173" s="135" t="s">
        <v>227</v>
      </c>
      <c r="E173" s="135" t="s">
        <v>228</v>
      </c>
      <c r="F173" s="135" t="s">
        <v>219</v>
      </c>
      <c r="G173" s="135">
        <v>1</v>
      </c>
      <c r="H173" s="137">
        <v>1</v>
      </c>
      <c r="I173" s="137">
        <v>1</v>
      </c>
      <c r="J173" s="135" t="s">
        <v>216</v>
      </c>
    </row>
    <row r="174" spans="1:10" x14ac:dyDescent="0.3">
      <c r="A174" s="138">
        <v>45117</v>
      </c>
      <c r="B174" s="135" t="s">
        <v>397</v>
      </c>
      <c r="C174" s="135" t="s">
        <v>253</v>
      </c>
      <c r="D174" s="135" t="s">
        <v>254</v>
      </c>
      <c r="E174" s="135" t="s">
        <v>255</v>
      </c>
      <c r="F174" s="135" t="s">
        <v>45</v>
      </c>
      <c r="G174" s="135">
        <v>1</v>
      </c>
      <c r="H174" s="137">
        <v>1100</v>
      </c>
      <c r="I174" s="137">
        <v>1100</v>
      </c>
      <c r="J174" s="135" t="s">
        <v>45</v>
      </c>
    </row>
    <row r="175" spans="1:10" x14ac:dyDescent="0.3">
      <c r="A175" s="138">
        <v>45117</v>
      </c>
      <c r="B175" s="135" t="s">
        <v>397</v>
      </c>
      <c r="C175" s="135" t="s">
        <v>256</v>
      </c>
      <c r="D175" s="135" t="s">
        <v>254</v>
      </c>
      <c r="E175" s="135" t="s">
        <v>257</v>
      </c>
      <c r="F175" s="135" t="s">
        <v>258</v>
      </c>
      <c r="G175" s="135">
        <v>1</v>
      </c>
      <c r="H175" s="137">
        <v>100</v>
      </c>
      <c r="I175" s="137">
        <v>100</v>
      </c>
      <c r="J175" s="135" t="s">
        <v>52</v>
      </c>
    </row>
    <row r="176" spans="1:10" x14ac:dyDescent="0.3">
      <c r="A176" s="138">
        <v>45122</v>
      </c>
      <c r="B176" s="135" t="s">
        <v>397</v>
      </c>
      <c r="C176" s="135" t="s">
        <v>275</v>
      </c>
      <c r="D176" s="135" t="s">
        <v>213</v>
      </c>
      <c r="E176" s="135" t="s">
        <v>224</v>
      </c>
      <c r="F176" s="135" t="s">
        <v>219</v>
      </c>
      <c r="G176" s="135">
        <v>3</v>
      </c>
      <c r="H176" s="137">
        <v>3</v>
      </c>
      <c r="I176" s="137">
        <v>9</v>
      </c>
      <c r="J176" s="135" t="s">
        <v>216</v>
      </c>
    </row>
    <row r="177" spans="1:10" x14ac:dyDescent="0.3">
      <c r="A177" s="138">
        <v>45122</v>
      </c>
      <c r="B177" s="135" t="s">
        <v>397</v>
      </c>
      <c r="C177" s="135" t="s">
        <v>276</v>
      </c>
      <c r="D177" s="135" t="s">
        <v>213</v>
      </c>
      <c r="E177" s="135" t="s">
        <v>214</v>
      </c>
      <c r="F177" s="135" t="s">
        <v>277</v>
      </c>
      <c r="G177" s="135">
        <v>1</v>
      </c>
      <c r="H177" s="137">
        <v>6.5</v>
      </c>
      <c r="I177" s="137">
        <v>6.5</v>
      </c>
      <c r="J177" s="135" t="s">
        <v>216</v>
      </c>
    </row>
    <row r="178" spans="1:10" x14ac:dyDescent="0.3">
      <c r="A178" s="138">
        <v>45122</v>
      </c>
      <c r="B178" s="135" t="s">
        <v>397</v>
      </c>
      <c r="C178" s="135" t="s">
        <v>217</v>
      </c>
      <c r="D178" s="135" t="s">
        <v>213</v>
      </c>
      <c r="E178" s="135" t="s">
        <v>218</v>
      </c>
      <c r="F178" s="135" t="s">
        <v>219</v>
      </c>
      <c r="G178" s="135">
        <v>1</v>
      </c>
      <c r="H178" s="137">
        <v>755</v>
      </c>
      <c r="I178" s="137">
        <v>755</v>
      </c>
      <c r="J178" s="135" t="s">
        <v>216</v>
      </c>
    </row>
    <row r="179" spans="1:10" x14ac:dyDescent="0.3">
      <c r="A179" s="138">
        <v>45122</v>
      </c>
      <c r="B179" s="135" t="s">
        <v>397</v>
      </c>
      <c r="C179" s="135" t="s">
        <v>278</v>
      </c>
      <c r="D179" s="135" t="s">
        <v>213</v>
      </c>
      <c r="E179" s="135" t="s">
        <v>221</v>
      </c>
      <c r="F179" s="135" t="s">
        <v>279</v>
      </c>
      <c r="G179" s="135">
        <v>1</v>
      </c>
      <c r="H179" s="137">
        <v>100</v>
      </c>
      <c r="I179" s="137">
        <v>100</v>
      </c>
      <c r="J179" s="135" t="s">
        <v>216</v>
      </c>
    </row>
    <row r="180" spans="1:10" x14ac:dyDescent="0.3">
      <c r="A180" s="138">
        <v>45122</v>
      </c>
      <c r="B180" s="135" t="s">
        <v>397</v>
      </c>
      <c r="C180" s="135" t="s">
        <v>259</v>
      </c>
      <c r="D180" s="135" t="s">
        <v>260</v>
      </c>
      <c r="E180" s="135" t="s">
        <v>261</v>
      </c>
      <c r="F180" s="135" t="s">
        <v>262</v>
      </c>
      <c r="G180" s="135">
        <v>1</v>
      </c>
      <c r="H180" s="137">
        <v>30</v>
      </c>
      <c r="I180" s="137">
        <v>30</v>
      </c>
      <c r="J180" s="135" t="s">
        <v>216</v>
      </c>
    </row>
    <row r="181" spans="1:10" x14ac:dyDescent="0.3">
      <c r="A181" s="138">
        <v>45124</v>
      </c>
      <c r="B181" s="135" t="s">
        <v>397</v>
      </c>
      <c r="C181" s="135" t="s">
        <v>47</v>
      </c>
      <c r="D181" s="135" t="s">
        <v>231</v>
      </c>
      <c r="E181" s="135" t="s">
        <v>265</v>
      </c>
      <c r="F181" s="135" t="s">
        <v>233</v>
      </c>
      <c r="G181" s="135">
        <v>1</v>
      </c>
      <c r="H181" s="137">
        <v>3500</v>
      </c>
      <c r="I181" s="137">
        <v>3500</v>
      </c>
      <c r="J181" s="135" t="s">
        <v>47</v>
      </c>
    </row>
    <row r="182" spans="1:10" x14ac:dyDescent="0.3">
      <c r="A182" s="138">
        <v>45124</v>
      </c>
      <c r="B182" s="135" t="s">
        <v>397</v>
      </c>
      <c r="C182" s="135" t="s">
        <v>226</v>
      </c>
      <c r="D182" s="135" t="s">
        <v>227</v>
      </c>
      <c r="E182" s="135" t="s">
        <v>228</v>
      </c>
      <c r="F182" s="135" t="s">
        <v>229</v>
      </c>
      <c r="G182" s="135">
        <v>1</v>
      </c>
      <c r="H182" s="137">
        <v>110</v>
      </c>
      <c r="I182" s="137">
        <v>110</v>
      </c>
      <c r="J182" s="135" t="s">
        <v>216</v>
      </c>
    </row>
    <row r="183" spans="1:10" x14ac:dyDescent="0.3">
      <c r="A183" s="138">
        <v>45126</v>
      </c>
      <c r="B183" s="135" t="s">
        <v>397</v>
      </c>
      <c r="C183" s="135" t="s">
        <v>266</v>
      </c>
      <c r="D183" s="135" t="s">
        <v>231</v>
      </c>
      <c r="E183" s="135" t="s">
        <v>239</v>
      </c>
      <c r="F183" s="135" t="s">
        <v>233</v>
      </c>
      <c r="G183" s="135">
        <v>1</v>
      </c>
      <c r="H183" s="137">
        <v>600</v>
      </c>
      <c r="I183" s="137">
        <v>600</v>
      </c>
      <c r="J183" s="135" t="s">
        <v>50</v>
      </c>
    </row>
    <row r="184" spans="1:10" x14ac:dyDescent="0.3">
      <c r="A184" s="138">
        <v>45127</v>
      </c>
      <c r="B184" s="135" t="s">
        <v>397</v>
      </c>
      <c r="C184" s="135" t="s">
        <v>267</v>
      </c>
      <c r="D184" s="135" t="s">
        <v>227</v>
      </c>
      <c r="E184" s="135" t="s">
        <v>268</v>
      </c>
      <c r="F184" s="135" t="s">
        <v>237</v>
      </c>
      <c r="G184" s="135">
        <v>1</v>
      </c>
      <c r="H184" s="137">
        <v>1200</v>
      </c>
      <c r="I184" s="137">
        <v>1200</v>
      </c>
      <c r="J184" s="135" t="s">
        <v>216</v>
      </c>
    </row>
    <row r="185" spans="1:10" x14ac:dyDescent="0.3">
      <c r="A185" s="138">
        <v>45131</v>
      </c>
      <c r="B185" s="135" t="s">
        <v>397</v>
      </c>
      <c r="C185" s="135" t="s">
        <v>280</v>
      </c>
      <c r="D185" s="135" t="s">
        <v>254</v>
      </c>
      <c r="E185" s="135" t="s">
        <v>255</v>
      </c>
      <c r="F185" s="135" t="s">
        <v>281</v>
      </c>
      <c r="G185" s="135">
        <v>1</v>
      </c>
      <c r="H185" s="137">
        <v>500</v>
      </c>
      <c r="I185" s="137">
        <v>500</v>
      </c>
      <c r="J185" s="135" t="s">
        <v>49</v>
      </c>
    </row>
    <row r="186" spans="1:10" x14ac:dyDescent="0.3">
      <c r="A186" s="138">
        <v>45132</v>
      </c>
      <c r="B186" s="135" t="s">
        <v>397</v>
      </c>
      <c r="C186" s="135" t="s">
        <v>282</v>
      </c>
      <c r="D186" s="135" t="s">
        <v>260</v>
      </c>
      <c r="E186" s="135" t="s">
        <v>283</v>
      </c>
      <c r="F186" s="135" t="s">
        <v>284</v>
      </c>
      <c r="G186" s="135">
        <v>1</v>
      </c>
      <c r="H186" s="137">
        <v>75</v>
      </c>
      <c r="I186" s="137">
        <v>75</v>
      </c>
      <c r="J186" s="135" t="s">
        <v>216</v>
      </c>
    </row>
    <row r="187" spans="1:10" x14ac:dyDescent="0.3">
      <c r="A187" s="138">
        <v>45134</v>
      </c>
      <c r="B187" s="135" t="s">
        <v>397</v>
      </c>
      <c r="C187" s="135" t="s">
        <v>285</v>
      </c>
      <c r="D187" s="135" t="s">
        <v>260</v>
      </c>
      <c r="E187" s="135" t="s">
        <v>286</v>
      </c>
      <c r="F187" s="135" t="s">
        <v>287</v>
      </c>
      <c r="G187" s="135">
        <v>1</v>
      </c>
      <c r="H187" s="137">
        <v>100</v>
      </c>
      <c r="I187" s="137">
        <v>100</v>
      </c>
      <c r="J187" s="135" t="s">
        <v>288</v>
      </c>
    </row>
    <row r="188" spans="1:10" x14ac:dyDescent="0.3">
      <c r="A188" s="138">
        <v>45135</v>
      </c>
      <c r="B188" s="135" t="s">
        <v>397</v>
      </c>
      <c r="C188" s="135" t="s">
        <v>399</v>
      </c>
      <c r="D188" s="135" t="s">
        <v>243</v>
      </c>
      <c r="E188" s="135" t="s">
        <v>400</v>
      </c>
      <c r="F188" s="135" t="s">
        <v>401</v>
      </c>
      <c r="G188" s="135">
        <v>2</v>
      </c>
      <c r="H188" s="137">
        <v>64.5</v>
      </c>
      <c r="I188" s="137">
        <v>129</v>
      </c>
      <c r="J188" s="135" t="s">
        <v>216</v>
      </c>
    </row>
    <row r="189" spans="1:10" x14ac:dyDescent="0.3">
      <c r="A189" s="138">
        <v>45139</v>
      </c>
      <c r="B189" s="135" t="s">
        <v>402</v>
      </c>
      <c r="C189" s="135" t="s">
        <v>217</v>
      </c>
      <c r="D189" s="135" t="s">
        <v>213</v>
      </c>
      <c r="E189" s="135" t="s">
        <v>218</v>
      </c>
      <c r="F189" s="135" t="s">
        <v>219</v>
      </c>
      <c r="G189" s="135">
        <v>1</v>
      </c>
      <c r="H189" s="137">
        <v>778</v>
      </c>
      <c r="I189" s="137">
        <v>778</v>
      </c>
      <c r="J189" s="135" t="s">
        <v>216</v>
      </c>
    </row>
    <row r="190" spans="1:10" x14ac:dyDescent="0.3">
      <c r="A190" s="138">
        <v>45143</v>
      </c>
      <c r="B190" s="135" t="s">
        <v>402</v>
      </c>
      <c r="C190" s="135" t="s">
        <v>290</v>
      </c>
      <c r="D190" s="135" t="s">
        <v>213</v>
      </c>
      <c r="E190" s="135" t="s">
        <v>214</v>
      </c>
      <c r="F190" s="135" t="s">
        <v>291</v>
      </c>
      <c r="G190" s="135">
        <v>2</v>
      </c>
      <c r="H190" s="137">
        <v>6</v>
      </c>
      <c r="I190" s="137">
        <v>12</v>
      </c>
      <c r="J190" s="135" t="s">
        <v>216</v>
      </c>
    </row>
    <row r="191" spans="1:10" x14ac:dyDescent="0.3">
      <c r="A191" s="138">
        <v>45143</v>
      </c>
      <c r="B191" s="135" t="s">
        <v>402</v>
      </c>
      <c r="C191" s="135" t="s">
        <v>234</v>
      </c>
      <c r="D191" s="135" t="s">
        <v>235</v>
      </c>
      <c r="E191" s="135" t="s">
        <v>236</v>
      </c>
      <c r="F191" s="135" t="s">
        <v>237</v>
      </c>
      <c r="G191" s="135">
        <v>1</v>
      </c>
      <c r="H191" s="137">
        <v>1600</v>
      </c>
      <c r="I191" s="137">
        <v>1600</v>
      </c>
      <c r="J191" s="135" t="s">
        <v>216</v>
      </c>
    </row>
    <row r="192" spans="1:10" x14ac:dyDescent="0.3">
      <c r="A192" s="138">
        <v>45143</v>
      </c>
      <c r="B192" s="135" t="s">
        <v>402</v>
      </c>
      <c r="C192" s="135" t="s">
        <v>292</v>
      </c>
      <c r="D192" s="135" t="s">
        <v>213</v>
      </c>
      <c r="E192" s="135" t="s">
        <v>221</v>
      </c>
      <c r="F192" s="135" t="s">
        <v>293</v>
      </c>
      <c r="G192" s="135">
        <v>3</v>
      </c>
      <c r="H192" s="137">
        <v>3</v>
      </c>
      <c r="I192" s="137">
        <v>9</v>
      </c>
      <c r="J192" s="135" t="s">
        <v>216</v>
      </c>
    </row>
    <row r="193" spans="1:10" x14ac:dyDescent="0.3">
      <c r="A193" s="138">
        <v>45143</v>
      </c>
      <c r="B193" s="135" t="s">
        <v>402</v>
      </c>
      <c r="C193" s="135" t="s">
        <v>294</v>
      </c>
      <c r="D193" s="135" t="s">
        <v>213</v>
      </c>
      <c r="E193" s="135" t="s">
        <v>224</v>
      </c>
      <c r="F193" s="135" t="s">
        <v>295</v>
      </c>
      <c r="G193" s="135">
        <v>2</v>
      </c>
      <c r="H193" s="137">
        <v>8</v>
      </c>
      <c r="I193" s="137">
        <v>16</v>
      </c>
      <c r="J193" s="135" t="s">
        <v>216</v>
      </c>
    </row>
    <row r="194" spans="1:10" x14ac:dyDescent="0.3">
      <c r="A194" s="138">
        <v>45145</v>
      </c>
      <c r="B194" s="135" t="s">
        <v>402</v>
      </c>
      <c r="C194" s="135" t="s">
        <v>348</v>
      </c>
      <c r="D194" s="135" t="s">
        <v>243</v>
      </c>
      <c r="E194" s="135" t="s">
        <v>349</v>
      </c>
      <c r="F194" s="135" t="s">
        <v>350</v>
      </c>
      <c r="G194" s="135">
        <v>3</v>
      </c>
      <c r="H194" s="137">
        <v>30</v>
      </c>
      <c r="I194" s="137">
        <v>90</v>
      </c>
      <c r="J194" s="135" t="s">
        <v>216</v>
      </c>
    </row>
    <row r="195" spans="1:10" x14ac:dyDescent="0.3">
      <c r="A195" s="138">
        <v>45146</v>
      </c>
      <c r="B195" s="135" t="s">
        <v>402</v>
      </c>
      <c r="C195" s="135" t="s">
        <v>238</v>
      </c>
      <c r="D195" s="135" t="s">
        <v>239</v>
      </c>
      <c r="E195" s="135" t="s">
        <v>240</v>
      </c>
      <c r="F195" s="135" t="s">
        <v>241</v>
      </c>
      <c r="G195" s="135">
        <v>1</v>
      </c>
      <c r="H195" s="137">
        <v>600</v>
      </c>
      <c r="I195" s="137">
        <v>600</v>
      </c>
      <c r="J195" s="135" t="s">
        <v>26</v>
      </c>
    </row>
    <row r="196" spans="1:10" x14ac:dyDescent="0.3">
      <c r="A196" s="138">
        <v>45146</v>
      </c>
      <c r="B196" s="135" t="s">
        <v>402</v>
      </c>
      <c r="C196" s="135" t="s">
        <v>226</v>
      </c>
      <c r="D196" s="135" t="s">
        <v>227</v>
      </c>
      <c r="E196" s="135" t="s">
        <v>228</v>
      </c>
      <c r="F196" s="135" t="s">
        <v>229</v>
      </c>
      <c r="G196" s="135">
        <v>1</v>
      </c>
      <c r="H196" s="137">
        <v>110</v>
      </c>
      <c r="I196" s="137">
        <v>110</v>
      </c>
      <c r="J196" s="135" t="s">
        <v>216</v>
      </c>
    </row>
    <row r="197" spans="1:10" x14ac:dyDescent="0.3">
      <c r="A197" s="138">
        <v>45148</v>
      </c>
      <c r="B197" s="135" t="s">
        <v>402</v>
      </c>
      <c r="C197" s="135" t="s">
        <v>253</v>
      </c>
      <c r="D197" s="135" t="s">
        <v>254</v>
      </c>
      <c r="E197" s="135" t="s">
        <v>255</v>
      </c>
      <c r="F197" s="135" t="s">
        <v>45</v>
      </c>
      <c r="G197" s="135">
        <v>1</v>
      </c>
      <c r="H197" s="137">
        <v>1100</v>
      </c>
      <c r="I197" s="137">
        <v>1100</v>
      </c>
      <c r="J197" s="135" t="s">
        <v>45</v>
      </c>
    </row>
    <row r="198" spans="1:10" x14ac:dyDescent="0.3">
      <c r="A198" s="138">
        <v>45148</v>
      </c>
      <c r="B198" s="135" t="s">
        <v>402</v>
      </c>
      <c r="C198" s="135" t="s">
        <v>256</v>
      </c>
      <c r="D198" s="135" t="s">
        <v>254</v>
      </c>
      <c r="E198" s="135" t="s">
        <v>257</v>
      </c>
      <c r="F198" s="135" t="s">
        <v>258</v>
      </c>
      <c r="G198" s="135">
        <v>1</v>
      </c>
      <c r="H198" s="137">
        <v>100</v>
      </c>
      <c r="I198" s="137">
        <v>100</v>
      </c>
      <c r="J198" s="135" t="s">
        <v>52</v>
      </c>
    </row>
    <row r="199" spans="1:10" x14ac:dyDescent="0.3">
      <c r="A199" s="138">
        <v>45150</v>
      </c>
      <c r="B199" s="135" t="s">
        <v>402</v>
      </c>
      <c r="C199" s="135" t="s">
        <v>303</v>
      </c>
      <c r="D199" s="135" t="s">
        <v>213</v>
      </c>
      <c r="E199" s="135" t="s">
        <v>224</v>
      </c>
      <c r="F199" s="135" t="s">
        <v>304</v>
      </c>
      <c r="G199" s="135">
        <v>2</v>
      </c>
      <c r="H199" s="137">
        <v>6</v>
      </c>
      <c r="I199" s="137">
        <v>12</v>
      </c>
      <c r="J199" s="135" t="s">
        <v>216</v>
      </c>
    </row>
    <row r="200" spans="1:10" x14ac:dyDescent="0.3">
      <c r="A200" s="138">
        <v>45150</v>
      </c>
      <c r="B200" s="135" t="s">
        <v>402</v>
      </c>
      <c r="C200" s="135" t="s">
        <v>305</v>
      </c>
      <c r="D200" s="135" t="s">
        <v>213</v>
      </c>
      <c r="E200" s="135" t="s">
        <v>214</v>
      </c>
      <c r="F200" s="135" t="s">
        <v>306</v>
      </c>
      <c r="G200" s="135">
        <v>3</v>
      </c>
      <c r="H200" s="137">
        <v>4</v>
      </c>
      <c r="I200" s="137">
        <v>12</v>
      </c>
      <c r="J200" s="135" t="s">
        <v>216</v>
      </c>
    </row>
    <row r="201" spans="1:10" x14ac:dyDescent="0.3">
      <c r="A201" s="138">
        <v>45150</v>
      </c>
      <c r="B201" s="135" t="s">
        <v>402</v>
      </c>
      <c r="C201" s="135" t="s">
        <v>307</v>
      </c>
      <c r="D201" s="135" t="s">
        <v>213</v>
      </c>
      <c r="E201" s="135" t="s">
        <v>308</v>
      </c>
      <c r="F201" s="135" t="s">
        <v>309</v>
      </c>
      <c r="G201" s="135">
        <v>1</v>
      </c>
      <c r="H201" s="137">
        <v>50</v>
      </c>
      <c r="I201" s="137">
        <v>50</v>
      </c>
      <c r="J201" s="135" t="s">
        <v>216</v>
      </c>
    </row>
    <row r="202" spans="1:10" x14ac:dyDescent="0.3">
      <c r="A202" s="138">
        <v>45153</v>
      </c>
      <c r="B202" s="135" t="s">
        <v>402</v>
      </c>
      <c r="C202" s="135" t="s">
        <v>217</v>
      </c>
      <c r="D202" s="135" t="s">
        <v>213</v>
      </c>
      <c r="E202" s="135" t="s">
        <v>218</v>
      </c>
      <c r="F202" s="135" t="s">
        <v>219</v>
      </c>
      <c r="G202" s="135">
        <v>1</v>
      </c>
      <c r="H202" s="137">
        <v>750</v>
      </c>
      <c r="I202" s="137">
        <v>750</v>
      </c>
      <c r="J202" s="135" t="s">
        <v>216</v>
      </c>
    </row>
    <row r="203" spans="1:10" x14ac:dyDescent="0.3">
      <c r="A203" s="138">
        <v>45153</v>
      </c>
      <c r="B203" s="135" t="s">
        <v>402</v>
      </c>
      <c r="C203" s="135" t="s">
        <v>259</v>
      </c>
      <c r="D203" s="135" t="s">
        <v>260</v>
      </c>
      <c r="E203" s="135" t="s">
        <v>261</v>
      </c>
      <c r="F203" s="135" t="s">
        <v>262</v>
      </c>
      <c r="G203" s="135">
        <v>1</v>
      </c>
      <c r="H203" s="137">
        <v>28</v>
      </c>
      <c r="I203" s="137">
        <v>28</v>
      </c>
      <c r="J203" s="135" t="s">
        <v>216</v>
      </c>
    </row>
    <row r="204" spans="1:10" x14ac:dyDescent="0.3">
      <c r="A204" s="138">
        <v>45157</v>
      </c>
      <c r="B204" s="135" t="s">
        <v>402</v>
      </c>
      <c r="C204" s="135" t="s">
        <v>247</v>
      </c>
      <c r="D204" s="135" t="s">
        <v>213</v>
      </c>
      <c r="E204" s="135" t="s">
        <v>214</v>
      </c>
      <c r="F204" s="135" t="s">
        <v>310</v>
      </c>
      <c r="G204" s="135">
        <v>1</v>
      </c>
      <c r="H204" s="137">
        <v>16.5</v>
      </c>
      <c r="I204" s="137">
        <v>16.5</v>
      </c>
      <c r="J204" s="135" t="s">
        <v>216</v>
      </c>
    </row>
    <row r="205" spans="1:10" x14ac:dyDescent="0.3">
      <c r="A205" s="138">
        <v>45157</v>
      </c>
      <c r="B205" s="135" t="s">
        <v>402</v>
      </c>
      <c r="C205" s="135" t="s">
        <v>311</v>
      </c>
      <c r="D205" s="135" t="s">
        <v>213</v>
      </c>
      <c r="E205" s="135" t="s">
        <v>224</v>
      </c>
      <c r="F205" s="135" t="s">
        <v>312</v>
      </c>
      <c r="G205" s="135">
        <v>3</v>
      </c>
      <c r="H205" s="137">
        <v>10</v>
      </c>
      <c r="I205" s="137">
        <v>30</v>
      </c>
      <c r="J205" s="135" t="s">
        <v>216</v>
      </c>
    </row>
    <row r="206" spans="1:10" x14ac:dyDescent="0.3">
      <c r="A206" s="138">
        <v>45157</v>
      </c>
      <c r="B206" s="135" t="s">
        <v>402</v>
      </c>
      <c r="C206" s="135" t="s">
        <v>313</v>
      </c>
      <c r="D206" s="135" t="s">
        <v>213</v>
      </c>
      <c r="E206" s="135" t="s">
        <v>224</v>
      </c>
      <c r="F206" s="135" t="s">
        <v>312</v>
      </c>
      <c r="G206" s="135">
        <v>2</v>
      </c>
      <c r="H206" s="137">
        <v>3</v>
      </c>
      <c r="I206" s="137">
        <v>6</v>
      </c>
      <c r="J206" s="135" t="s">
        <v>216</v>
      </c>
    </row>
    <row r="207" spans="1:10" x14ac:dyDescent="0.3">
      <c r="A207" s="138">
        <v>45158</v>
      </c>
      <c r="B207" s="135" t="s">
        <v>402</v>
      </c>
      <c r="C207" s="135" t="s">
        <v>267</v>
      </c>
      <c r="D207" s="135" t="s">
        <v>227</v>
      </c>
      <c r="E207" s="135" t="s">
        <v>268</v>
      </c>
      <c r="F207" s="135" t="s">
        <v>237</v>
      </c>
      <c r="G207" s="135">
        <v>1</v>
      </c>
      <c r="H207" s="137">
        <v>1200</v>
      </c>
      <c r="I207" s="137">
        <v>1200</v>
      </c>
      <c r="J207" s="135" t="s">
        <v>216</v>
      </c>
    </row>
    <row r="208" spans="1:10" x14ac:dyDescent="0.3">
      <c r="A208" s="138">
        <v>45158</v>
      </c>
      <c r="B208" s="135" t="s">
        <v>402</v>
      </c>
      <c r="C208" s="135" t="s">
        <v>226</v>
      </c>
      <c r="D208" s="135" t="s">
        <v>227</v>
      </c>
      <c r="E208" s="135" t="s">
        <v>228</v>
      </c>
      <c r="F208" s="135" t="s">
        <v>229</v>
      </c>
      <c r="G208" s="135">
        <v>1</v>
      </c>
      <c r="H208" s="137">
        <v>110</v>
      </c>
      <c r="I208" s="137">
        <v>110</v>
      </c>
      <c r="J208" s="135" t="s">
        <v>216</v>
      </c>
    </row>
    <row r="209" spans="1:10" x14ac:dyDescent="0.3">
      <c r="A209" s="138">
        <v>45159</v>
      </c>
      <c r="B209" s="135" t="s">
        <v>402</v>
      </c>
      <c r="C209" s="135" t="s">
        <v>403</v>
      </c>
      <c r="D209" s="135" t="s">
        <v>243</v>
      </c>
      <c r="E209" s="135" t="s">
        <v>404</v>
      </c>
      <c r="F209" s="135" t="s">
        <v>405</v>
      </c>
      <c r="G209" s="135">
        <v>3</v>
      </c>
      <c r="H209" s="137">
        <v>50</v>
      </c>
      <c r="I209" s="137">
        <v>150</v>
      </c>
      <c r="J209" s="135" t="s">
        <v>216</v>
      </c>
    </row>
    <row r="210" spans="1:10" x14ac:dyDescent="0.3">
      <c r="A210" s="138">
        <v>45161</v>
      </c>
      <c r="B210" s="135" t="s">
        <v>402</v>
      </c>
      <c r="C210" s="135" t="s">
        <v>365</v>
      </c>
      <c r="D210" s="135" t="s">
        <v>227</v>
      </c>
      <c r="E210" s="135" t="s">
        <v>228</v>
      </c>
      <c r="F210" s="135" t="s">
        <v>366</v>
      </c>
      <c r="G210" s="135">
        <v>1</v>
      </c>
      <c r="H210" s="137">
        <v>35</v>
      </c>
      <c r="I210" s="137">
        <v>35</v>
      </c>
      <c r="J210" s="135" t="s">
        <v>216</v>
      </c>
    </row>
    <row r="211" spans="1:10" x14ac:dyDescent="0.3">
      <c r="A211" s="138">
        <v>45162</v>
      </c>
      <c r="B211" s="135" t="s">
        <v>402</v>
      </c>
      <c r="C211" s="135" t="s">
        <v>280</v>
      </c>
      <c r="D211" s="135" t="s">
        <v>254</v>
      </c>
      <c r="E211" s="135" t="s">
        <v>255</v>
      </c>
      <c r="F211" s="135" t="s">
        <v>281</v>
      </c>
      <c r="G211" s="135">
        <v>1</v>
      </c>
      <c r="H211" s="137">
        <v>500</v>
      </c>
      <c r="I211" s="137">
        <v>500</v>
      </c>
      <c r="J211" s="135" t="s">
        <v>49</v>
      </c>
    </row>
    <row r="212" spans="1:10" x14ac:dyDescent="0.3">
      <c r="A212" s="138">
        <v>45163</v>
      </c>
      <c r="B212" s="135" t="s">
        <v>402</v>
      </c>
      <c r="C212" s="135" t="s">
        <v>282</v>
      </c>
      <c r="D212" s="135" t="s">
        <v>260</v>
      </c>
      <c r="E212" s="135" t="s">
        <v>283</v>
      </c>
      <c r="F212" s="135" t="s">
        <v>284</v>
      </c>
      <c r="G212" s="135">
        <v>1</v>
      </c>
      <c r="H212" s="137">
        <v>80</v>
      </c>
      <c r="I212" s="137">
        <v>80</v>
      </c>
      <c r="J212" s="135" t="s">
        <v>216</v>
      </c>
    </row>
    <row r="213" spans="1:10" x14ac:dyDescent="0.3">
      <c r="A213" s="138">
        <v>45164</v>
      </c>
      <c r="B213" s="135" t="s">
        <v>402</v>
      </c>
      <c r="C213" s="135" t="s">
        <v>285</v>
      </c>
      <c r="D213" s="135" t="s">
        <v>260</v>
      </c>
      <c r="E213" s="135" t="s">
        <v>286</v>
      </c>
      <c r="F213" s="135" t="s">
        <v>287</v>
      </c>
      <c r="G213" s="135">
        <v>1</v>
      </c>
      <c r="H213" s="137">
        <v>100</v>
      </c>
      <c r="I213" s="137">
        <v>100</v>
      </c>
      <c r="J213" s="135" t="s">
        <v>288</v>
      </c>
    </row>
    <row r="214" spans="1:10" x14ac:dyDescent="0.3">
      <c r="A214" s="138">
        <v>45170</v>
      </c>
      <c r="B214" s="135" t="s">
        <v>406</v>
      </c>
      <c r="C214" s="135" t="s">
        <v>217</v>
      </c>
      <c r="D214" s="135" t="s">
        <v>213</v>
      </c>
      <c r="E214" s="135" t="s">
        <v>218</v>
      </c>
      <c r="F214" s="135" t="s">
        <v>219</v>
      </c>
      <c r="G214" s="135">
        <v>1</v>
      </c>
      <c r="H214" s="137">
        <v>730</v>
      </c>
      <c r="I214" s="137">
        <v>730</v>
      </c>
      <c r="J214" s="135" t="s">
        <v>216</v>
      </c>
    </row>
    <row r="215" spans="1:10" x14ac:dyDescent="0.3">
      <c r="A215" s="138">
        <v>45171</v>
      </c>
      <c r="B215" s="135" t="s">
        <v>406</v>
      </c>
      <c r="C215" s="135" t="s">
        <v>319</v>
      </c>
      <c r="D215" s="135" t="s">
        <v>213</v>
      </c>
      <c r="E215" s="135" t="s">
        <v>214</v>
      </c>
      <c r="F215" s="135" t="s">
        <v>320</v>
      </c>
      <c r="G215" s="135">
        <v>1</v>
      </c>
      <c r="H215" s="137">
        <v>60</v>
      </c>
      <c r="I215" s="137">
        <v>60</v>
      </c>
      <c r="J215" s="135" t="s">
        <v>216</v>
      </c>
    </row>
    <row r="216" spans="1:10" x14ac:dyDescent="0.3">
      <c r="A216" s="138">
        <v>45171</v>
      </c>
      <c r="B216" s="135" t="s">
        <v>406</v>
      </c>
      <c r="C216" s="135" t="s">
        <v>321</v>
      </c>
      <c r="D216" s="135" t="s">
        <v>213</v>
      </c>
      <c r="E216" s="135" t="s">
        <v>308</v>
      </c>
      <c r="F216" s="135" t="s">
        <v>322</v>
      </c>
      <c r="G216" s="135">
        <v>3</v>
      </c>
      <c r="H216" s="137">
        <v>8</v>
      </c>
      <c r="I216" s="137">
        <v>24</v>
      </c>
      <c r="J216" s="135" t="s">
        <v>216</v>
      </c>
    </row>
    <row r="217" spans="1:10" x14ac:dyDescent="0.3">
      <c r="A217" s="138">
        <v>45171</v>
      </c>
      <c r="B217" s="135" t="s">
        <v>406</v>
      </c>
      <c r="C217" s="135" t="s">
        <v>323</v>
      </c>
      <c r="D217" s="135" t="s">
        <v>213</v>
      </c>
      <c r="E217" s="135" t="s">
        <v>224</v>
      </c>
      <c r="F217" s="135" t="s">
        <v>324</v>
      </c>
      <c r="G217" s="135">
        <v>2</v>
      </c>
      <c r="H217" s="137">
        <v>8</v>
      </c>
      <c r="I217" s="137">
        <v>16</v>
      </c>
      <c r="J217" s="135" t="s">
        <v>216</v>
      </c>
    </row>
    <row r="218" spans="1:10" x14ac:dyDescent="0.3">
      <c r="A218" s="138">
        <v>45174</v>
      </c>
      <c r="B218" s="135" t="s">
        <v>406</v>
      </c>
      <c r="C218" s="135" t="s">
        <v>234</v>
      </c>
      <c r="D218" s="135" t="s">
        <v>235</v>
      </c>
      <c r="E218" s="135" t="s">
        <v>236</v>
      </c>
      <c r="F218" s="135" t="s">
        <v>237</v>
      </c>
      <c r="G218" s="135">
        <v>1</v>
      </c>
      <c r="H218" s="137">
        <v>1600</v>
      </c>
      <c r="I218" s="137">
        <v>1600</v>
      </c>
      <c r="J218" s="135" t="s">
        <v>216</v>
      </c>
    </row>
    <row r="219" spans="1:10" x14ac:dyDescent="0.3">
      <c r="A219" s="138">
        <v>45175</v>
      </c>
      <c r="B219" s="135" t="s">
        <v>406</v>
      </c>
      <c r="C219" s="135" t="s">
        <v>407</v>
      </c>
      <c r="D219" s="135" t="s">
        <v>243</v>
      </c>
      <c r="E219" s="135" t="s">
        <v>404</v>
      </c>
      <c r="F219" s="135" t="s">
        <v>408</v>
      </c>
      <c r="G219" s="135">
        <v>1</v>
      </c>
      <c r="H219" s="137">
        <v>45</v>
      </c>
      <c r="I219" s="137">
        <v>45</v>
      </c>
      <c r="J219" s="135" t="s">
        <v>216</v>
      </c>
    </row>
    <row r="220" spans="1:10" x14ac:dyDescent="0.3">
      <c r="A220" s="138">
        <v>45177</v>
      </c>
      <c r="B220" s="135" t="s">
        <v>406</v>
      </c>
      <c r="C220" s="135" t="s">
        <v>238</v>
      </c>
      <c r="D220" s="135" t="s">
        <v>239</v>
      </c>
      <c r="E220" s="135" t="s">
        <v>240</v>
      </c>
      <c r="F220" s="135" t="s">
        <v>241</v>
      </c>
      <c r="G220" s="135">
        <v>1</v>
      </c>
      <c r="H220" s="137">
        <v>600</v>
      </c>
      <c r="I220" s="137">
        <v>600</v>
      </c>
      <c r="J220" s="135" t="s">
        <v>26</v>
      </c>
    </row>
    <row r="221" spans="1:10" x14ac:dyDescent="0.3">
      <c r="A221" s="138">
        <v>45178</v>
      </c>
      <c r="B221" s="135" t="s">
        <v>406</v>
      </c>
      <c r="C221" s="135" t="s">
        <v>325</v>
      </c>
      <c r="D221" s="135" t="s">
        <v>213</v>
      </c>
      <c r="E221" s="135" t="s">
        <v>221</v>
      </c>
      <c r="F221" s="135" t="s">
        <v>326</v>
      </c>
      <c r="G221" s="135">
        <v>3</v>
      </c>
      <c r="H221" s="137">
        <v>10</v>
      </c>
      <c r="I221" s="137">
        <v>30</v>
      </c>
      <c r="J221" s="135" t="s">
        <v>216</v>
      </c>
    </row>
    <row r="222" spans="1:10" x14ac:dyDescent="0.3">
      <c r="A222" s="138">
        <v>45178</v>
      </c>
      <c r="B222" s="135" t="s">
        <v>406</v>
      </c>
      <c r="C222" s="135" t="s">
        <v>327</v>
      </c>
      <c r="D222" s="135" t="s">
        <v>213</v>
      </c>
      <c r="E222" s="135" t="s">
        <v>221</v>
      </c>
      <c r="F222" s="135" t="s">
        <v>326</v>
      </c>
      <c r="G222" s="135">
        <v>3</v>
      </c>
      <c r="H222" s="137">
        <v>3</v>
      </c>
      <c r="I222" s="137">
        <v>9</v>
      </c>
      <c r="J222" s="135" t="s">
        <v>216</v>
      </c>
    </row>
    <row r="223" spans="1:10" x14ac:dyDescent="0.3">
      <c r="A223" s="138">
        <v>45178</v>
      </c>
      <c r="B223" s="135" t="s">
        <v>406</v>
      </c>
      <c r="C223" s="135" t="s">
        <v>226</v>
      </c>
      <c r="D223" s="135" t="s">
        <v>227</v>
      </c>
      <c r="E223" s="135" t="s">
        <v>228</v>
      </c>
      <c r="F223" s="135" t="s">
        <v>229</v>
      </c>
      <c r="G223" s="135">
        <v>1</v>
      </c>
      <c r="H223" s="137">
        <v>100</v>
      </c>
      <c r="I223" s="137">
        <v>100</v>
      </c>
      <c r="J223" s="135" t="s">
        <v>216</v>
      </c>
    </row>
    <row r="224" spans="1:10" x14ac:dyDescent="0.3">
      <c r="A224" s="138">
        <v>45178</v>
      </c>
      <c r="B224" s="135" t="s">
        <v>406</v>
      </c>
      <c r="C224" s="135" t="s">
        <v>328</v>
      </c>
      <c r="D224" s="135" t="s">
        <v>213</v>
      </c>
      <c r="E224" s="135" t="s">
        <v>224</v>
      </c>
      <c r="F224" s="135" t="s">
        <v>329</v>
      </c>
      <c r="G224" s="135">
        <v>2</v>
      </c>
      <c r="H224" s="137">
        <v>25</v>
      </c>
      <c r="I224" s="137">
        <v>50</v>
      </c>
      <c r="J224" s="135" t="s">
        <v>216</v>
      </c>
    </row>
    <row r="225" spans="1:10" x14ac:dyDescent="0.3">
      <c r="A225" s="138">
        <v>45179</v>
      </c>
      <c r="B225" s="135" t="s">
        <v>406</v>
      </c>
      <c r="C225" s="135" t="s">
        <v>253</v>
      </c>
      <c r="D225" s="135" t="s">
        <v>254</v>
      </c>
      <c r="E225" s="135" t="s">
        <v>255</v>
      </c>
      <c r="F225" s="135" t="s">
        <v>45</v>
      </c>
      <c r="G225" s="135">
        <v>1</v>
      </c>
      <c r="H225" s="137">
        <v>1100</v>
      </c>
      <c r="I225" s="137">
        <v>1100</v>
      </c>
      <c r="J225" s="135" t="s">
        <v>45</v>
      </c>
    </row>
    <row r="226" spans="1:10" x14ac:dyDescent="0.3">
      <c r="A226" s="138">
        <v>45179</v>
      </c>
      <c r="B226" s="135" t="s">
        <v>406</v>
      </c>
      <c r="C226" s="135" t="s">
        <v>256</v>
      </c>
      <c r="D226" s="135" t="s">
        <v>254</v>
      </c>
      <c r="E226" s="135" t="s">
        <v>257</v>
      </c>
      <c r="F226" s="135" t="s">
        <v>258</v>
      </c>
      <c r="G226" s="135">
        <v>1</v>
      </c>
      <c r="H226" s="137">
        <v>100</v>
      </c>
      <c r="I226" s="137">
        <v>100</v>
      </c>
      <c r="J226" s="135" t="s">
        <v>52</v>
      </c>
    </row>
    <row r="227" spans="1:10" x14ac:dyDescent="0.3">
      <c r="A227" s="138">
        <v>45182</v>
      </c>
      <c r="B227" s="135" t="s">
        <v>406</v>
      </c>
      <c r="C227" s="135" t="s">
        <v>272</v>
      </c>
      <c r="D227" s="135" t="s">
        <v>227</v>
      </c>
      <c r="E227" s="135" t="s">
        <v>273</v>
      </c>
      <c r="F227" s="135" t="s">
        <v>274</v>
      </c>
      <c r="G227" s="135">
        <v>3</v>
      </c>
      <c r="H227" s="137">
        <v>5</v>
      </c>
      <c r="I227" s="137">
        <v>15</v>
      </c>
      <c r="J227" s="135" t="s">
        <v>216</v>
      </c>
    </row>
    <row r="228" spans="1:10" x14ac:dyDescent="0.3">
      <c r="A228" s="138">
        <v>45184</v>
      </c>
      <c r="B228" s="135" t="s">
        <v>406</v>
      </c>
      <c r="C228" s="135" t="s">
        <v>217</v>
      </c>
      <c r="D228" s="135" t="s">
        <v>213</v>
      </c>
      <c r="E228" s="135" t="s">
        <v>218</v>
      </c>
      <c r="F228" s="135" t="s">
        <v>219</v>
      </c>
      <c r="G228" s="135">
        <v>1</v>
      </c>
      <c r="H228" s="137">
        <v>750</v>
      </c>
      <c r="I228" s="137">
        <v>750</v>
      </c>
      <c r="J228" s="135" t="s">
        <v>216</v>
      </c>
    </row>
    <row r="229" spans="1:10" x14ac:dyDescent="0.3">
      <c r="A229" s="138">
        <v>45184</v>
      </c>
      <c r="B229" s="135" t="s">
        <v>406</v>
      </c>
      <c r="C229" s="135" t="s">
        <v>259</v>
      </c>
      <c r="D229" s="135" t="s">
        <v>260</v>
      </c>
      <c r="E229" s="135" t="s">
        <v>261</v>
      </c>
      <c r="F229" s="135" t="s">
        <v>262</v>
      </c>
      <c r="G229" s="135">
        <v>1</v>
      </c>
      <c r="H229" s="137">
        <v>29</v>
      </c>
      <c r="I229" s="137">
        <v>29</v>
      </c>
      <c r="J229" s="135" t="s">
        <v>216</v>
      </c>
    </row>
    <row r="230" spans="1:10" x14ac:dyDescent="0.3">
      <c r="A230" s="138">
        <v>45185</v>
      </c>
      <c r="B230" s="135" t="s">
        <v>406</v>
      </c>
      <c r="C230" s="135" t="s">
        <v>333</v>
      </c>
      <c r="D230" s="135" t="s">
        <v>213</v>
      </c>
      <c r="E230" s="135" t="s">
        <v>221</v>
      </c>
      <c r="F230" s="135" t="s">
        <v>334</v>
      </c>
      <c r="G230" s="135">
        <v>3</v>
      </c>
      <c r="H230" s="137">
        <v>29.9</v>
      </c>
      <c r="I230" s="137">
        <v>89.7</v>
      </c>
      <c r="J230" s="135" t="s">
        <v>216</v>
      </c>
    </row>
    <row r="231" spans="1:10" x14ac:dyDescent="0.3">
      <c r="A231" s="138">
        <v>45185</v>
      </c>
      <c r="B231" s="135" t="s">
        <v>406</v>
      </c>
      <c r="C231" s="135" t="s">
        <v>335</v>
      </c>
      <c r="D231" s="135" t="s">
        <v>213</v>
      </c>
      <c r="E231" s="135" t="s">
        <v>224</v>
      </c>
      <c r="F231" s="135" t="s">
        <v>336</v>
      </c>
      <c r="G231" s="135">
        <v>3</v>
      </c>
      <c r="H231" s="137">
        <v>7</v>
      </c>
      <c r="I231" s="137">
        <v>21</v>
      </c>
      <c r="J231" s="135" t="s">
        <v>216</v>
      </c>
    </row>
    <row r="232" spans="1:10" x14ac:dyDescent="0.3">
      <c r="A232" s="138">
        <v>45185</v>
      </c>
      <c r="B232" s="135" t="s">
        <v>406</v>
      </c>
      <c r="C232" s="135" t="s">
        <v>223</v>
      </c>
      <c r="D232" s="135" t="s">
        <v>213</v>
      </c>
      <c r="E232" s="135" t="s">
        <v>214</v>
      </c>
      <c r="F232" s="135" t="s">
        <v>250</v>
      </c>
      <c r="G232" s="135">
        <v>2</v>
      </c>
      <c r="H232" s="137">
        <v>4</v>
      </c>
      <c r="I232" s="137">
        <v>8</v>
      </c>
      <c r="J232" s="135" t="s">
        <v>216</v>
      </c>
    </row>
    <row r="233" spans="1:10" x14ac:dyDescent="0.3">
      <c r="A233" s="138">
        <v>45189</v>
      </c>
      <c r="B233" s="135" t="s">
        <v>406</v>
      </c>
      <c r="C233" s="135" t="s">
        <v>267</v>
      </c>
      <c r="D233" s="135" t="s">
        <v>227</v>
      </c>
      <c r="E233" s="135" t="s">
        <v>268</v>
      </c>
      <c r="F233" s="135" t="s">
        <v>237</v>
      </c>
      <c r="G233" s="135">
        <v>1</v>
      </c>
      <c r="H233" s="137">
        <v>1200</v>
      </c>
      <c r="I233" s="137">
        <v>1200</v>
      </c>
      <c r="J233" s="135" t="s">
        <v>216</v>
      </c>
    </row>
    <row r="234" spans="1:10" x14ac:dyDescent="0.3">
      <c r="A234" s="138">
        <v>45189</v>
      </c>
      <c r="B234" s="135" t="s">
        <v>406</v>
      </c>
      <c r="C234" s="135" t="s">
        <v>409</v>
      </c>
      <c r="D234" s="135" t="s">
        <v>243</v>
      </c>
      <c r="E234" s="135" t="s">
        <v>315</v>
      </c>
      <c r="F234" s="135" t="s">
        <v>410</v>
      </c>
      <c r="G234" s="135">
        <v>3</v>
      </c>
      <c r="H234" s="137">
        <v>10</v>
      </c>
      <c r="I234" s="137">
        <v>30</v>
      </c>
      <c r="J234" s="135" t="s">
        <v>216</v>
      </c>
    </row>
    <row r="235" spans="1:10" x14ac:dyDescent="0.3">
      <c r="A235" s="138">
        <v>45192</v>
      </c>
      <c r="B235" s="135" t="s">
        <v>406</v>
      </c>
      <c r="C235" s="135" t="s">
        <v>226</v>
      </c>
      <c r="D235" s="135" t="s">
        <v>227</v>
      </c>
      <c r="E235" s="135" t="s">
        <v>228</v>
      </c>
      <c r="F235" s="135" t="s">
        <v>229</v>
      </c>
      <c r="G235" s="135">
        <v>1</v>
      </c>
      <c r="H235" s="137">
        <v>90</v>
      </c>
      <c r="I235" s="137">
        <v>90</v>
      </c>
      <c r="J235" s="135" t="s">
        <v>216</v>
      </c>
    </row>
    <row r="236" spans="1:10" x14ac:dyDescent="0.3">
      <c r="A236" s="138">
        <v>45193</v>
      </c>
      <c r="B236" s="135" t="s">
        <v>406</v>
      </c>
      <c r="C236" s="135" t="s">
        <v>280</v>
      </c>
      <c r="D236" s="135" t="s">
        <v>254</v>
      </c>
      <c r="E236" s="135" t="s">
        <v>255</v>
      </c>
      <c r="F236" s="135" t="s">
        <v>281</v>
      </c>
      <c r="G236" s="135">
        <v>1</v>
      </c>
      <c r="H236" s="137">
        <v>500</v>
      </c>
      <c r="I236" s="137">
        <v>500</v>
      </c>
      <c r="J236" s="135" t="s">
        <v>49</v>
      </c>
    </row>
    <row r="237" spans="1:10" x14ac:dyDescent="0.3">
      <c r="A237" s="138">
        <v>45194</v>
      </c>
      <c r="B237" s="135" t="s">
        <v>406</v>
      </c>
      <c r="C237" s="135" t="s">
        <v>282</v>
      </c>
      <c r="D237" s="135" t="s">
        <v>260</v>
      </c>
      <c r="E237" s="135" t="s">
        <v>283</v>
      </c>
      <c r="F237" s="135" t="s">
        <v>284</v>
      </c>
      <c r="G237" s="135">
        <v>1</v>
      </c>
      <c r="H237" s="137">
        <v>84.5</v>
      </c>
      <c r="I237" s="137">
        <v>84.5</v>
      </c>
      <c r="J237" s="135" t="s">
        <v>216</v>
      </c>
    </row>
    <row r="238" spans="1:10" x14ac:dyDescent="0.3">
      <c r="A238" s="138">
        <v>45195</v>
      </c>
      <c r="B238" s="135" t="s">
        <v>406</v>
      </c>
      <c r="C238" s="135" t="s">
        <v>285</v>
      </c>
      <c r="D238" s="135" t="s">
        <v>260</v>
      </c>
      <c r="E238" s="135" t="s">
        <v>286</v>
      </c>
      <c r="F238" s="135" t="s">
        <v>287</v>
      </c>
      <c r="G238" s="135">
        <v>1</v>
      </c>
      <c r="H238" s="137">
        <v>100</v>
      </c>
      <c r="I238" s="137">
        <v>100</v>
      </c>
      <c r="J238" s="135" t="s">
        <v>288</v>
      </c>
    </row>
    <row r="239" spans="1:10" x14ac:dyDescent="0.3">
      <c r="A239" s="138">
        <v>45200</v>
      </c>
      <c r="B239" s="135" t="s">
        <v>411</v>
      </c>
      <c r="C239" s="135" t="s">
        <v>217</v>
      </c>
      <c r="D239" s="135" t="s">
        <v>213</v>
      </c>
      <c r="E239" s="135" t="s">
        <v>218</v>
      </c>
      <c r="F239" s="135" t="s">
        <v>219</v>
      </c>
      <c r="G239" s="135">
        <v>1</v>
      </c>
      <c r="H239" s="137">
        <v>800</v>
      </c>
      <c r="I239" s="137">
        <v>800</v>
      </c>
      <c r="J239" s="135" t="s">
        <v>216</v>
      </c>
    </row>
    <row r="240" spans="1:10" x14ac:dyDescent="0.3">
      <c r="A240" s="138">
        <v>45200</v>
      </c>
      <c r="B240" s="135" t="s">
        <v>411</v>
      </c>
      <c r="C240" s="135" t="s">
        <v>375</v>
      </c>
      <c r="D240" s="135" t="s">
        <v>227</v>
      </c>
      <c r="E240" s="135" t="s">
        <v>273</v>
      </c>
      <c r="F240" s="135" t="s">
        <v>376</v>
      </c>
      <c r="G240" s="135">
        <v>3</v>
      </c>
      <c r="H240" s="137">
        <v>35</v>
      </c>
      <c r="I240" s="137">
        <v>105</v>
      </c>
      <c r="J240" s="135" t="s">
        <v>216</v>
      </c>
    </row>
    <row r="241" spans="1:10" x14ac:dyDescent="0.3">
      <c r="A241" s="138">
        <v>45204</v>
      </c>
      <c r="B241" s="135" t="s">
        <v>411</v>
      </c>
      <c r="C241" s="135" t="s">
        <v>234</v>
      </c>
      <c r="D241" s="135" t="s">
        <v>235</v>
      </c>
      <c r="E241" s="135" t="s">
        <v>236</v>
      </c>
      <c r="F241" s="135" t="s">
        <v>237</v>
      </c>
      <c r="G241" s="135">
        <v>1</v>
      </c>
      <c r="H241" s="137">
        <v>1600</v>
      </c>
      <c r="I241" s="137">
        <v>1600</v>
      </c>
      <c r="J241" s="135" t="s">
        <v>216</v>
      </c>
    </row>
    <row r="242" spans="1:10" x14ac:dyDescent="0.3">
      <c r="A242" s="138">
        <v>45206</v>
      </c>
      <c r="B242" s="135" t="s">
        <v>411</v>
      </c>
      <c r="C242" s="135" t="s">
        <v>338</v>
      </c>
      <c r="D242" s="135" t="s">
        <v>213</v>
      </c>
      <c r="E242" s="135" t="s">
        <v>224</v>
      </c>
      <c r="F242" s="135" t="s">
        <v>339</v>
      </c>
      <c r="G242" s="135">
        <v>2</v>
      </c>
      <c r="H242" s="137">
        <v>11.9</v>
      </c>
      <c r="I242" s="137">
        <v>23.8</v>
      </c>
      <c r="J242" s="135" t="s">
        <v>216</v>
      </c>
    </row>
    <row r="243" spans="1:10" x14ac:dyDescent="0.3">
      <c r="A243" s="138">
        <v>45206</v>
      </c>
      <c r="B243" s="135" t="s">
        <v>411</v>
      </c>
      <c r="C243" s="135" t="s">
        <v>303</v>
      </c>
      <c r="D243" s="135" t="s">
        <v>213</v>
      </c>
      <c r="E243" s="135" t="s">
        <v>224</v>
      </c>
      <c r="F243" s="135" t="s">
        <v>304</v>
      </c>
      <c r="G243" s="135">
        <v>3</v>
      </c>
      <c r="H243" s="137">
        <v>5</v>
      </c>
      <c r="I243" s="137">
        <v>15</v>
      </c>
      <c r="J243" s="135" t="s">
        <v>216</v>
      </c>
    </row>
    <row r="244" spans="1:10" x14ac:dyDescent="0.3">
      <c r="A244" s="138">
        <v>45206</v>
      </c>
      <c r="B244" s="135" t="s">
        <v>411</v>
      </c>
      <c r="C244" s="135" t="s">
        <v>223</v>
      </c>
      <c r="D244" s="135" t="s">
        <v>213</v>
      </c>
      <c r="E244" s="135" t="s">
        <v>221</v>
      </c>
      <c r="F244" s="135" t="s">
        <v>340</v>
      </c>
      <c r="G244" s="135">
        <v>3</v>
      </c>
      <c r="H244" s="137">
        <v>8</v>
      </c>
      <c r="I244" s="137">
        <v>24</v>
      </c>
      <c r="J244" s="135" t="s">
        <v>216</v>
      </c>
    </row>
    <row r="245" spans="1:10" x14ac:dyDescent="0.3">
      <c r="A245" s="138">
        <v>45206</v>
      </c>
      <c r="B245" s="135" t="s">
        <v>411</v>
      </c>
      <c r="C245" s="135" t="s">
        <v>377</v>
      </c>
      <c r="D245" s="135" t="s">
        <v>227</v>
      </c>
      <c r="E245" s="135" t="s">
        <v>273</v>
      </c>
      <c r="F245" s="135" t="s">
        <v>376</v>
      </c>
      <c r="G245" s="135">
        <v>3</v>
      </c>
      <c r="H245" s="137">
        <v>35</v>
      </c>
      <c r="I245" s="137">
        <v>105</v>
      </c>
      <c r="J245" s="135" t="s">
        <v>216</v>
      </c>
    </row>
    <row r="246" spans="1:10" x14ac:dyDescent="0.3">
      <c r="A246" s="138">
        <v>45207</v>
      </c>
      <c r="B246" s="135" t="s">
        <v>411</v>
      </c>
      <c r="C246" s="135" t="s">
        <v>238</v>
      </c>
      <c r="D246" s="135" t="s">
        <v>239</v>
      </c>
      <c r="E246" s="135" t="s">
        <v>240</v>
      </c>
      <c r="F246" s="135" t="s">
        <v>241</v>
      </c>
      <c r="G246" s="135">
        <v>1</v>
      </c>
      <c r="H246" s="137">
        <v>600</v>
      </c>
      <c r="I246" s="137">
        <v>600</v>
      </c>
      <c r="J246" s="135" t="s">
        <v>26</v>
      </c>
    </row>
    <row r="247" spans="1:10" x14ac:dyDescent="0.3">
      <c r="A247" s="138">
        <v>45209</v>
      </c>
      <c r="B247" s="135" t="s">
        <v>411</v>
      </c>
      <c r="C247" s="135" t="s">
        <v>253</v>
      </c>
      <c r="D247" s="135" t="s">
        <v>254</v>
      </c>
      <c r="E247" s="135" t="s">
        <v>255</v>
      </c>
      <c r="F247" s="135" t="s">
        <v>45</v>
      </c>
      <c r="G247" s="135">
        <v>1</v>
      </c>
      <c r="H247" s="137">
        <v>1100</v>
      </c>
      <c r="I247" s="137">
        <v>1100</v>
      </c>
      <c r="J247" s="135" t="s">
        <v>45</v>
      </c>
    </row>
    <row r="248" spans="1:10" x14ac:dyDescent="0.3">
      <c r="A248" s="138">
        <v>45209</v>
      </c>
      <c r="B248" s="135" t="s">
        <v>411</v>
      </c>
      <c r="C248" s="135" t="s">
        <v>256</v>
      </c>
      <c r="D248" s="135" t="s">
        <v>254</v>
      </c>
      <c r="E248" s="135" t="s">
        <v>257</v>
      </c>
      <c r="F248" s="135" t="s">
        <v>258</v>
      </c>
      <c r="G248" s="135">
        <v>1</v>
      </c>
      <c r="H248" s="137">
        <v>100</v>
      </c>
      <c r="I248" s="137">
        <v>100</v>
      </c>
      <c r="J248" s="135" t="s">
        <v>52</v>
      </c>
    </row>
    <row r="249" spans="1:10" x14ac:dyDescent="0.3">
      <c r="A249" s="138">
        <v>45210</v>
      </c>
      <c r="B249" s="135" t="s">
        <v>411</v>
      </c>
      <c r="C249" s="135" t="s">
        <v>226</v>
      </c>
      <c r="D249" s="135" t="s">
        <v>227</v>
      </c>
      <c r="E249" s="135" t="s">
        <v>228</v>
      </c>
      <c r="F249" s="135" t="s">
        <v>229</v>
      </c>
      <c r="G249" s="135">
        <v>1</v>
      </c>
      <c r="H249" s="137">
        <v>100</v>
      </c>
      <c r="I249" s="137">
        <v>100</v>
      </c>
      <c r="J249" s="135" t="s">
        <v>216</v>
      </c>
    </row>
    <row r="250" spans="1:10" x14ac:dyDescent="0.3">
      <c r="A250" s="138">
        <v>45212</v>
      </c>
      <c r="B250" s="135" t="s">
        <v>411</v>
      </c>
      <c r="C250" s="135" t="s">
        <v>412</v>
      </c>
      <c r="D250" s="135" t="s">
        <v>243</v>
      </c>
      <c r="E250" s="135" t="s">
        <v>244</v>
      </c>
      <c r="F250" s="135" t="s">
        <v>245</v>
      </c>
      <c r="G250" s="135">
        <v>2</v>
      </c>
      <c r="H250" s="137">
        <v>17</v>
      </c>
      <c r="I250" s="137">
        <v>34</v>
      </c>
      <c r="J250" s="135" t="s">
        <v>216</v>
      </c>
    </row>
    <row r="251" spans="1:10" x14ac:dyDescent="0.3">
      <c r="A251" s="138">
        <v>45213</v>
      </c>
      <c r="B251" s="135" t="s">
        <v>411</v>
      </c>
      <c r="C251" s="135" t="s">
        <v>247</v>
      </c>
      <c r="D251" s="135" t="s">
        <v>213</v>
      </c>
      <c r="E251" s="135" t="s">
        <v>221</v>
      </c>
      <c r="F251" s="135" t="s">
        <v>342</v>
      </c>
      <c r="G251" s="135">
        <v>3</v>
      </c>
      <c r="H251" s="137">
        <v>5.5</v>
      </c>
      <c r="I251" s="137">
        <v>16.5</v>
      </c>
      <c r="J251" s="135" t="s">
        <v>216</v>
      </c>
    </row>
    <row r="252" spans="1:10" x14ac:dyDescent="0.3">
      <c r="A252" s="138">
        <v>45213</v>
      </c>
      <c r="B252" s="135" t="s">
        <v>411</v>
      </c>
      <c r="C252" s="135" t="s">
        <v>290</v>
      </c>
      <c r="D252" s="135" t="s">
        <v>213</v>
      </c>
      <c r="E252" s="135" t="s">
        <v>214</v>
      </c>
      <c r="F252" s="135" t="s">
        <v>291</v>
      </c>
      <c r="G252" s="135">
        <v>2</v>
      </c>
      <c r="H252" s="137">
        <v>6</v>
      </c>
      <c r="I252" s="137">
        <v>12</v>
      </c>
      <c r="J252" s="135" t="s">
        <v>216</v>
      </c>
    </row>
    <row r="253" spans="1:10" x14ac:dyDescent="0.3">
      <c r="A253" s="138">
        <v>45213</v>
      </c>
      <c r="B253" s="135" t="s">
        <v>411</v>
      </c>
      <c r="C253" s="135" t="s">
        <v>294</v>
      </c>
      <c r="D253" s="135" t="s">
        <v>213</v>
      </c>
      <c r="E253" s="135" t="s">
        <v>224</v>
      </c>
      <c r="F253" s="135" t="s">
        <v>295</v>
      </c>
      <c r="G253" s="135">
        <v>2</v>
      </c>
      <c r="H253" s="137">
        <v>8</v>
      </c>
      <c r="I253" s="137">
        <v>16</v>
      </c>
      <c r="J253" s="135" t="s">
        <v>216</v>
      </c>
    </row>
    <row r="254" spans="1:10" x14ac:dyDescent="0.3">
      <c r="A254" s="138">
        <v>45214</v>
      </c>
      <c r="B254" s="135" t="s">
        <v>411</v>
      </c>
      <c r="C254" s="135" t="s">
        <v>217</v>
      </c>
      <c r="D254" s="135" t="s">
        <v>213</v>
      </c>
      <c r="E254" s="135" t="s">
        <v>218</v>
      </c>
      <c r="F254" s="135" t="s">
        <v>219</v>
      </c>
      <c r="G254" s="135">
        <v>1</v>
      </c>
      <c r="H254" s="137">
        <v>769</v>
      </c>
      <c r="I254" s="137">
        <v>769</v>
      </c>
      <c r="J254" s="135" t="s">
        <v>216</v>
      </c>
    </row>
    <row r="255" spans="1:10" x14ac:dyDescent="0.3">
      <c r="A255" s="138">
        <v>45214</v>
      </c>
      <c r="B255" s="135" t="s">
        <v>411</v>
      </c>
      <c r="C255" s="135" t="s">
        <v>259</v>
      </c>
      <c r="D255" s="135" t="s">
        <v>260</v>
      </c>
      <c r="E255" s="135" t="s">
        <v>261</v>
      </c>
      <c r="F255" s="135" t="s">
        <v>262</v>
      </c>
      <c r="G255" s="135">
        <v>1</v>
      </c>
      <c r="H255" s="137">
        <v>30</v>
      </c>
      <c r="I255" s="137">
        <v>30</v>
      </c>
      <c r="J255" s="135" t="s">
        <v>216</v>
      </c>
    </row>
    <row r="256" spans="1:10" x14ac:dyDescent="0.3">
      <c r="A256" s="138">
        <v>45219</v>
      </c>
      <c r="B256" s="135" t="s">
        <v>411</v>
      </c>
      <c r="C256" s="135" t="s">
        <v>267</v>
      </c>
      <c r="D256" s="135" t="s">
        <v>227</v>
      </c>
      <c r="E256" s="135" t="s">
        <v>268</v>
      </c>
      <c r="F256" s="135" t="s">
        <v>237</v>
      </c>
      <c r="G256" s="135">
        <v>1</v>
      </c>
      <c r="H256" s="137">
        <v>1200</v>
      </c>
      <c r="I256" s="137">
        <v>1200</v>
      </c>
      <c r="J256" s="135" t="s">
        <v>216</v>
      </c>
    </row>
    <row r="257" spans="1:10" x14ac:dyDescent="0.3">
      <c r="A257" s="138">
        <v>45220</v>
      </c>
      <c r="B257" s="135" t="s">
        <v>411</v>
      </c>
      <c r="C257" s="135" t="s">
        <v>343</v>
      </c>
      <c r="D257" s="135" t="s">
        <v>213</v>
      </c>
      <c r="E257" s="135" t="s">
        <v>224</v>
      </c>
      <c r="F257" s="135" t="s">
        <v>344</v>
      </c>
      <c r="G257" s="135">
        <v>3</v>
      </c>
      <c r="H257" s="137">
        <v>9</v>
      </c>
      <c r="I257" s="137">
        <v>27</v>
      </c>
      <c r="J257" s="135" t="s">
        <v>216</v>
      </c>
    </row>
    <row r="258" spans="1:10" x14ac:dyDescent="0.3">
      <c r="A258" s="138">
        <v>45220</v>
      </c>
      <c r="B258" s="135" t="s">
        <v>411</v>
      </c>
      <c r="C258" s="135" t="s">
        <v>345</v>
      </c>
      <c r="D258" s="135" t="s">
        <v>213</v>
      </c>
      <c r="E258" s="135" t="s">
        <v>221</v>
      </c>
      <c r="F258" s="135" t="s">
        <v>346</v>
      </c>
      <c r="G258" s="135">
        <v>3</v>
      </c>
      <c r="H258" s="137">
        <v>6</v>
      </c>
      <c r="I258" s="137">
        <v>18</v>
      </c>
      <c r="J258" s="135" t="s">
        <v>216</v>
      </c>
    </row>
    <row r="259" spans="1:10" x14ac:dyDescent="0.3">
      <c r="A259" s="138">
        <v>45220</v>
      </c>
      <c r="B259" s="135" t="s">
        <v>411</v>
      </c>
      <c r="C259" s="135" t="s">
        <v>347</v>
      </c>
      <c r="D259" s="135" t="s">
        <v>213</v>
      </c>
      <c r="E259" s="135" t="s">
        <v>214</v>
      </c>
      <c r="F259" s="135" t="s">
        <v>250</v>
      </c>
      <c r="G259" s="135">
        <v>3</v>
      </c>
      <c r="H259" s="137">
        <v>6</v>
      </c>
      <c r="I259" s="137">
        <v>18</v>
      </c>
      <c r="J259" s="135" t="s">
        <v>216</v>
      </c>
    </row>
    <row r="260" spans="1:10" x14ac:dyDescent="0.3">
      <c r="A260" s="138">
        <v>45223</v>
      </c>
      <c r="B260" s="135" t="s">
        <v>411</v>
      </c>
      <c r="C260" s="135" t="s">
        <v>280</v>
      </c>
      <c r="D260" s="135" t="s">
        <v>254</v>
      </c>
      <c r="E260" s="135" t="s">
        <v>255</v>
      </c>
      <c r="F260" s="135" t="s">
        <v>281</v>
      </c>
      <c r="G260" s="135">
        <v>1</v>
      </c>
      <c r="H260" s="137">
        <v>500</v>
      </c>
      <c r="I260" s="137">
        <v>500</v>
      </c>
      <c r="J260" s="135" t="s">
        <v>49</v>
      </c>
    </row>
    <row r="261" spans="1:10" x14ac:dyDescent="0.3">
      <c r="A261" s="138">
        <v>45224</v>
      </c>
      <c r="B261" s="135" t="s">
        <v>411</v>
      </c>
      <c r="C261" s="135" t="s">
        <v>282</v>
      </c>
      <c r="D261" s="135" t="s">
        <v>260</v>
      </c>
      <c r="E261" s="135" t="s">
        <v>283</v>
      </c>
      <c r="F261" s="135" t="s">
        <v>284</v>
      </c>
      <c r="G261" s="135">
        <v>1</v>
      </c>
      <c r="H261" s="137">
        <v>85</v>
      </c>
      <c r="I261" s="137">
        <v>85</v>
      </c>
      <c r="J261" s="135" t="s">
        <v>216</v>
      </c>
    </row>
    <row r="262" spans="1:10" x14ac:dyDescent="0.3">
      <c r="A262" s="138">
        <v>45224</v>
      </c>
      <c r="B262" s="135" t="s">
        <v>411</v>
      </c>
      <c r="C262" s="135" t="s">
        <v>226</v>
      </c>
      <c r="D262" s="135" t="s">
        <v>227</v>
      </c>
      <c r="E262" s="135" t="s">
        <v>228</v>
      </c>
      <c r="F262" s="135" t="s">
        <v>229</v>
      </c>
      <c r="G262" s="135">
        <v>1</v>
      </c>
      <c r="H262" s="137">
        <v>120</v>
      </c>
      <c r="I262" s="137">
        <v>120</v>
      </c>
      <c r="J262" s="135" t="s">
        <v>216</v>
      </c>
    </row>
    <row r="263" spans="1:10" x14ac:dyDescent="0.3">
      <c r="A263" s="138">
        <v>45225</v>
      </c>
      <c r="B263" s="135" t="s">
        <v>411</v>
      </c>
      <c r="C263" s="135" t="s">
        <v>285</v>
      </c>
      <c r="D263" s="135" t="s">
        <v>260</v>
      </c>
      <c r="E263" s="135" t="s">
        <v>286</v>
      </c>
      <c r="F263" s="135" t="s">
        <v>287</v>
      </c>
      <c r="G263" s="135">
        <v>1</v>
      </c>
      <c r="H263" s="137">
        <v>100</v>
      </c>
      <c r="I263" s="137">
        <v>100</v>
      </c>
      <c r="J263" s="135" t="s">
        <v>288</v>
      </c>
    </row>
    <row r="264" spans="1:10" x14ac:dyDescent="0.3">
      <c r="A264" s="138">
        <v>45226</v>
      </c>
      <c r="B264" s="135" t="s">
        <v>411</v>
      </c>
      <c r="C264" s="135" t="s">
        <v>413</v>
      </c>
      <c r="D264" s="135" t="s">
        <v>243</v>
      </c>
      <c r="E264" s="135" t="s">
        <v>404</v>
      </c>
      <c r="F264" s="135" t="s">
        <v>414</v>
      </c>
      <c r="G264" s="135">
        <v>3</v>
      </c>
      <c r="H264" s="137">
        <v>15</v>
      </c>
      <c r="I264" s="137">
        <v>45</v>
      </c>
      <c r="J264" s="135" t="s">
        <v>216</v>
      </c>
    </row>
    <row r="265" spans="1:10" x14ac:dyDescent="0.3">
      <c r="A265" s="138">
        <v>45231</v>
      </c>
      <c r="B265" s="135" t="s">
        <v>415</v>
      </c>
      <c r="C265" s="135" t="s">
        <v>217</v>
      </c>
      <c r="D265" s="135" t="s">
        <v>213</v>
      </c>
      <c r="E265" s="135" t="s">
        <v>218</v>
      </c>
      <c r="F265" s="135" t="s">
        <v>219</v>
      </c>
      <c r="G265" s="135">
        <v>1</v>
      </c>
      <c r="H265" s="137">
        <v>804</v>
      </c>
      <c r="I265" s="137">
        <v>804</v>
      </c>
      <c r="J265" s="135" t="s">
        <v>216</v>
      </c>
    </row>
    <row r="266" spans="1:10" x14ac:dyDescent="0.3">
      <c r="A266" s="138">
        <v>45234</v>
      </c>
      <c r="B266" s="135" t="s">
        <v>415</v>
      </c>
      <c r="C266" s="135" t="s">
        <v>360</v>
      </c>
      <c r="D266" s="135" t="s">
        <v>213</v>
      </c>
      <c r="E266" s="135" t="s">
        <v>224</v>
      </c>
      <c r="F266" s="135" t="s">
        <v>361</v>
      </c>
      <c r="G266" s="135">
        <v>3</v>
      </c>
      <c r="H266" s="137">
        <v>7</v>
      </c>
      <c r="I266" s="137">
        <v>21</v>
      </c>
      <c r="J266" s="135" t="s">
        <v>216</v>
      </c>
    </row>
    <row r="267" spans="1:10" x14ac:dyDescent="0.3">
      <c r="A267" s="138">
        <v>45234</v>
      </c>
      <c r="B267" s="135" t="s">
        <v>415</v>
      </c>
      <c r="C267" s="135" t="s">
        <v>319</v>
      </c>
      <c r="D267" s="135" t="s">
        <v>213</v>
      </c>
      <c r="E267" s="135" t="s">
        <v>214</v>
      </c>
      <c r="F267" s="135" t="s">
        <v>320</v>
      </c>
      <c r="G267" s="135">
        <v>1</v>
      </c>
      <c r="H267" s="137">
        <v>60</v>
      </c>
      <c r="I267" s="137">
        <v>60</v>
      </c>
      <c r="J267" s="135" t="s">
        <v>216</v>
      </c>
    </row>
    <row r="268" spans="1:10" x14ac:dyDescent="0.3">
      <c r="A268" s="138">
        <v>45234</v>
      </c>
      <c r="B268" s="135" t="s">
        <v>415</v>
      </c>
      <c r="C268" s="135" t="s">
        <v>362</v>
      </c>
      <c r="D268" s="135" t="s">
        <v>213</v>
      </c>
      <c r="E268" s="135" t="s">
        <v>221</v>
      </c>
      <c r="F268" s="135" t="s">
        <v>363</v>
      </c>
      <c r="G268" s="135">
        <v>1</v>
      </c>
      <c r="H268" s="137">
        <v>20</v>
      </c>
      <c r="I268" s="137">
        <v>20</v>
      </c>
      <c r="J268" s="135" t="s">
        <v>216</v>
      </c>
    </row>
    <row r="269" spans="1:10" x14ac:dyDescent="0.3">
      <c r="A269" s="138">
        <v>45235</v>
      </c>
      <c r="B269" s="135" t="s">
        <v>415</v>
      </c>
      <c r="C269" s="135" t="s">
        <v>234</v>
      </c>
      <c r="D269" s="135" t="s">
        <v>235</v>
      </c>
      <c r="E269" s="135" t="s">
        <v>236</v>
      </c>
      <c r="F269" s="135" t="s">
        <v>237</v>
      </c>
      <c r="G269" s="135">
        <v>1</v>
      </c>
      <c r="H269" s="137">
        <v>1600</v>
      </c>
      <c r="I269" s="137">
        <v>1600</v>
      </c>
      <c r="J269" s="135" t="s">
        <v>216</v>
      </c>
    </row>
    <row r="270" spans="1:10" x14ac:dyDescent="0.3">
      <c r="A270" s="138">
        <v>45238</v>
      </c>
      <c r="B270" s="135" t="s">
        <v>415</v>
      </c>
      <c r="C270" s="135" t="s">
        <v>238</v>
      </c>
      <c r="D270" s="135" t="s">
        <v>239</v>
      </c>
      <c r="E270" s="135" t="s">
        <v>240</v>
      </c>
      <c r="F270" s="135" t="s">
        <v>241</v>
      </c>
      <c r="G270" s="135">
        <v>1</v>
      </c>
      <c r="H270" s="137">
        <v>600</v>
      </c>
      <c r="I270" s="137">
        <v>600</v>
      </c>
      <c r="J270" s="135" t="s">
        <v>26</v>
      </c>
    </row>
    <row r="271" spans="1:10" x14ac:dyDescent="0.3">
      <c r="A271" s="138">
        <v>45239</v>
      </c>
      <c r="B271" s="135" t="s">
        <v>415</v>
      </c>
      <c r="C271" s="135" t="s">
        <v>348</v>
      </c>
      <c r="D271" s="135" t="s">
        <v>243</v>
      </c>
      <c r="E271" s="135" t="s">
        <v>349</v>
      </c>
      <c r="F271" s="135" t="s">
        <v>416</v>
      </c>
      <c r="G271" s="135">
        <v>3</v>
      </c>
      <c r="H271" s="137">
        <v>25</v>
      </c>
      <c r="I271" s="137">
        <v>75</v>
      </c>
      <c r="J271" s="135" t="s">
        <v>216</v>
      </c>
    </row>
    <row r="272" spans="1:10" x14ac:dyDescent="0.3">
      <c r="A272" s="138">
        <v>45240</v>
      </c>
      <c r="B272" s="135" t="s">
        <v>415</v>
      </c>
      <c r="C272" s="135" t="s">
        <v>253</v>
      </c>
      <c r="D272" s="135" t="s">
        <v>254</v>
      </c>
      <c r="E272" s="135" t="s">
        <v>255</v>
      </c>
      <c r="F272" s="135" t="s">
        <v>45</v>
      </c>
      <c r="G272" s="135">
        <v>1</v>
      </c>
      <c r="H272" s="137">
        <v>1100</v>
      </c>
      <c r="I272" s="137">
        <v>1100</v>
      </c>
      <c r="J272" s="135" t="s">
        <v>45</v>
      </c>
    </row>
    <row r="273" spans="1:10" x14ac:dyDescent="0.3">
      <c r="A273" s="138">
        <v>45240</v>
      </c>
      <c r="B273" s="135" t="s">
        <v>415</v>
      </c>
      <c r="C273" s="135" t="s">
        <v>256</v>
      </c>
      <c r="D273" s="135" t="s">
        <v>254</v>
      </c>
      <c r="E273" s="135" t="s">
        <v>257</v>
      </c>
      <c r="F273" s="135" t="s">
        <v>258</v>
      </c>
      <c r="G273" s="135">
        <v>1</v>
      </c>
      <c r="H273" s="137">
        <v>100</v>
      </c>
      <c r="I273" s="137">
        <v>100</v>
      </c>
      <c r="J273" s="135" t="s">
        <v>52</v>
      </c>
    </row>
    <row r="274" spans="1:10" x14ac:dyDescent="0.3">
      <c r="A274" s="138">
        <v>45241</v>
      </c>
      <c r="B274" s="135" t="s">
        <v>415</v>
      </c>
      <c r="C274" s="135" t="s">
        <v>338</v>
      </c>
      <c r="D274" s="135" t="s">
        <v>213</v>
      </c>
      <c r="E274" s="135" t="s">
        <v>224</v>
      </c>
      <c r="F274" s="135" t="s">
        <v>339</v>
      </c>
      <c r="G274" s="135">
        <v>2</v>
      </c>
      <c r="H274" s="137">
        <v>11.9</v>
      </c>
      <c r="I274" s="137">
        <v>23.8</v>
      </c>
      <c r="J274" s="135" t="s">
        <v>216</v>
      </c>
    </row>
    <row r="275" spans="1:10" x14ac:dyDescent="0.3">
      <c r="A275" s="138">
        <v>45241</v>
      </c>
      <c r="B275" s="135" t="s">
        <v>415</v>
      </c>
      <c r="C275" s="135" t="s">
        <v>249</v>
      </c>
      <c r="D275" s="135" t="s">
        <v>213</v>
      </c>
      <c r="E275" s="135" t="s">
        <v>214</v>
      </c>
      <c r="F275" s="135" t="s">
        <v>250</v>
      </c>
      <c r="G275" s="135">
        <v>2</v>
      </c>
      <c r="H275" s="137">
        <v>6</v>
      </c>
      <c r="I275" s="137">
        <v>12</v>
      </c>
      <c r="J275" s="135" t="s">
        <v>216</v>
      </c>
    </row>
    <row r="276" spans="1:10" x14ac:dyDescent="0.3">
      <c r="A276" s="138">
        <v>45241</v>
      </c>
      <c r="B276" s="135" t="s">
        <v>415</v>
      </c>
      <c r="C276" s="135" t="s">
        <v>367</v>
      </c>
      <c r="D276" s="135" t="s">
        <v>213</v>
      </c>
      <c r="E276" s="135" t="s">
        <v>221</v>
      </c>
      <c r="F276" s="135" t="s">
        <v>368</v>
      </c>
      <c r="G276" s="135">
        <v>1</v>
      </c>
      <c r="H276" s="137">
        <v>100</v>
      </c>
      <c r="I276" s="137">
        <v>100</v>
      </c>
      <c r="J276" s="135" t="s">
        <v>216</v>
      </c>
    </row>
    <row r="277" spans="1:10" x14ac:dyDescent="0.3">
      <c r="A277" s="138">
        <v>45241</v>
      </c>
      <c r="B277" s="135" t="s">
        <v>415</v>
      </c>
      <c r="C277" s="135" t="s">
        <v>301</v>
      </c>
      <c r="D277" s="135" t="s">
        <v>227</v>
      </c>
      <c r="E277" s="135" t="s">
        <v>228</v>
      </c>
      <c r="F277" s="135" t="s">
        <v>302</v>
      </c>
      <c r="G277" s="135">
        <v>1</v>
      </c>
      <c r="H277" s="137">
        <v>5</v>
      </c>
      <c r="I277" s="137">
        <v>5</v>
      </c>
      <c r="J277" s="135" t="s">
        <v>216</v>
      </c>
    </row>
    <row r="278" spans="1:10" x14ac:dyDescent="0.3">
      <c r="A278" s="138">
        <v>45245</v>
      </c>
      <c r="B278" s="135" t="s">
        <v>415</v>
      </c>
      <c r="C278" s="135" t="s">
        <v>217</v>
      </c>
      <c r="D278" s="135" t="s">
        <v>213</v>
      </c>
      <c r="E278" s="135" t="s">
        <v>218</v>
      </c>
      <c r="F278" s="135" t="s">
        <v>219</v>
      </c>
      <c r="G278" s="135">
        <v>1</v>
      </c>
      <c r="H278" s="137">
        <v>788</v>
      </c>
      <c r="I278" s="137">
        <v>788</v>
      </c>
      <c r="J278" s="135" t="s">
        <v>216</v>
      </c>
    </row>
    <row r="279" spans="1:10" x14ac:dyDescent="0.3">
      <c r="A279" s="138">
        <v>45245</v>
      </c>
      <c r="B279" s="135" t="s">
        <v>415</v>
      </c>
      <c r="C279" s="135" t="s">
        <v>259</v>
      </c>
      <c r="D279" s="135" t="s">
        <v>260</v>
      </c>
      <c r="E279" s="135" t="s">
        <v>261</v>
      </c>
      <c r="F279" s="135" t="s">
        <v>262</v>
      </c>
      <c r="G279" s="135">
        <v>1</v>
      </c>
      <c r="H279" s="137">
        <v>32</v>
      </c>
      <c r="I279" s="137">
        <v>32</v>
      </c>
      <c r="J279" s="135" t="s">
        <v>216</v>
      </c>
    </row>
    <row r="280" spans="1:10" x14ac:dyDescent="0.3">
      <c r="A280" s="138">
        <v>45248</v>
      </c>
      <c r="B280" s="135" t="s">
        <v>415</v>
      </c>
      <c r="C280" s="135" t="s">
        <v>369</v>
      </c>
      <c r="D280" s="135" t="s">
        <v>213</v>
      </c>
      <c r="E280" s="135" t="s">
        <v>224</v>
      </c>
      <c r="F280" s="135" t="s">
        <v>370</v>
      </c>
      <c r="G280" s="135">
        <v>1</v>
      </c>
      <c r="H280" s="137">
        <v>27</v>
      </c>
      <c r="I280" s="137">
        <v>27</v>
      </c>
      <c r="J280" s="135" t="s">
        <v>216</v>
      </c>
    </row>
    <row r="281" spans="1:10" x14ac:dyDescent="0.3">
      <c r="A281" s="138">
        <v>45248</v>
      </c>
      <c r="B281" s="135" t="s">
        <v>415</v>
      </c>
      <c r="C281" s="135" t="s">
        <v>371</v>
      </c>
      <c r="D281" s="135" t="s">
        <v>213</v>
      </c>
      <c r="E281" s="135" t="s">
        <v>224</v>
      </c>
      <c r="F281" s="135" t="s">
        <v>370</v>
      </c>
      <c r="G281" s="135">
        <v>1</v>
      </c>
      <c r="H281" s="137">
        <v>23</v>
      </c>
      <c r="I281" s="137">
        <v>23</v>
      </c>
      <c r="J281" s="135" t="s">
        <v>216</v>
      </c>
    </row>
    <row r="282" spans="1:10" x14ac:dyDescent="0.3">
      <c r="A282" s="138">
        <v>45248</v>
      </c>
      <c r="B282" s="135" t="s">
        <v>415</v>
      </c>
      <c r="C282" s="135" t="s">
        <v>278</v>
      </c>
      <c r="D282" s="135" t="s">
        <v>213</v>
      </c>
      <c r="E282" s="135" t="s">
        <v>221</v>
      </c>
      <c r="F282" s="135" t="s">
        <v>372</v>
      </c>
      <c r="G282" s="135">
        <v>1</v>
      </c>
      <c r="H282" s="137">
        <v>60</v>
      </c>
      <c r="I282" s="137">
        <v>60</v>
      </c>
      <c r="J282" s="135" t="s">
        <v>216</v>
      </c>
    </row>
    <row r="283" spans="1:10" x14ac:dyDescent="0.3">
      <c r="A283" s="138">
        <v>45250</v>
      </c>
      <c r="B283" s="135" t="s">
        <v>415</v>
      </c>
      <c r="C283" s="135" t="s">
        <v>267</v>
      </c>
      <c r="D283" s="135" t="s">
        <v>227</v>
      </c>
      <c r="E283" s="135" t="s">
        <v>268</v>
      </c>
      <c r="F283" s="135" t="s">
        <v>237</v>
      </c>
      <c r="G283" s="135">
        <v>1</v>
      </c>
      <c r="H283" s="137">
        <v>1200</v>
      </c>
      <c r="I283" s="137">
        <v>1200</v>
      </c>
      <c r="J283" s="135" t="s">
        <v>216</v>
      </c>
    </row>
    <row r="284" spans="1:10" x14ac:dyDescent="0.3">
      <c r="A284" s="138">
        <v>45250</v>
      </c>
      <c r="B284" s="135" t="s">
        <v>415</v>
      </c>
      <c r="C284" s="135" t="s">
        <v>226</v>
      </c>
      <c r="D284" s="135" t="s">
        <v>227</v>
      </c>
      <c r="E284" s="135" t="s">
        <v>273</v>
      </c>
      <c r="F284" s="135" t="s">
        <v>229</v>
      </c>
      <c r="G284" s="135">
        <v>1</v>
      </c>
      <c r="H284" s="137">
        <v>120</v>
      </c>
      <c r="I284" s="137">
        <v>120</v>
      </c>
      <c r="J284" s="135" t="s">
        <v>216</v>
      </c>
    </row>
    <row r="285" spans="1:10" x14ac:dyDescent="0.3">
      <c r="A285" s="138">
        <v>45253</v>
      </c>
      <c r="B285" s="135" t="s">
        <v>415</v>
      </c>
      <c r="C285" s="135" t="s">
        <v>387</v>
      </c>
      <c r="D285" s="135" t="s">
        <v>243</v>
      </c>
      <c r="E285" s="135" t="s">
        <v>388</v>
      </c>
      <c r="F285" s="135" t="s">
        <v>417</v>
      </c>
      <c r="G285" s="135">
        <v>3</v>
      </c>
      <c r="H285" s="137">
        <v>60</v>
      </c>
      <c r="I285" s="137">
        <v>180</v>
      </c>
      <c r="J285" s="135" t="s">
        <v>216</v>
      </c>
    </row>
    <row r="286" spans="1:10" x14ac:dyDescent="0.3">
      <c r="A286" s="138">
        <v>45253</v>
      </c>
      <c r="B286" s="135" t="s">
        <v>415</v>
      </c>
      <c r="C286" s="135" t="s">
        <v>272</v>
      </c>
      <c r="D286" s="135" t="s">
        <v>227</v>
      </c>
      <c r="E286" s="135" t="s">
        <v>273</v>
      </c>
      <c r="F286" s="135" t="s">
        <v>274</v>
      </c>
      <c r="G286" s="135">
        <v>3</v>
      </c>
      <c r="H286" s="137">
        <v>5</v>
      </c>
      <c r="I286" s="137">
        <v>15</v>
      </c>
      <c r="J286" s="135" t="s">
        <v>216</v>
      </c>
    </row>
    <row r="287" spans="1:10" x14ac:dyDescent="0.3">
      <c r="A287" s="138">
        <v>45254</v>
      </c>
      <c r="B287" s="135" t="s">
        <v>415</v>
      </c>
      <c r="C287" s="135" t="s">
        <v>280</v>
      </c>
      <c r="D287" s="135" t="s">
        <v>254</v>
      </c>
      <c r="E287" s="135" t="s">
        <v>255</v>
      </c>
      <c r="F287" s="135" t="s">
        <v>281</v>
      </c>
      <c r="G287" s="135">
        <v>1</v>
      </c>
      <c r="H287" s="137">
        <v>500</v>
      </c>
      <c r="I287" s="137">
        <v>500</v>
      </c>
      <c r="J287" s="135" t="s">
        <v>49</v>
      </c>
    </row>
    <row r="288" spans="1:10" x14ac:dyDescent="0.3">
      <c r="A288" s="138">
        <v>45255</v>
      </c>
      <c r="B288" s="135" t="s">
        <v>415</v>
      </c>
      <c r="C288" s="135" t="s">
        <v>282</v>
      </c>
      <c r="D288" s="135" t="s">
        <v>260</v>
      </c>
      <c r="E288" s="135" t="s">
        <v>283</v>
      </c>
      <c r="F288" s="135" t="s">
        <v>284</v>
      </c>
      <c r="G288" s="135">
        <v>1</v>
      </c>
      <c r="H288" s="137">
        <v>84.5</v>
      </c>
      <c r="I288" s="137">
        <v>84.5</v>
      </c>
      <c r="J288" s="135" t="s">
        <v>216</v>
      </c>
    </row>
    <row r="289" spans="1:10" x14ac:dyDescent="0.3">
      <c r="A289" s="138">
        <v>45258</v>
      </c>
      <c r="B289" s="135" t="s">
        <v>415</v>
      </c>
      <c r="C289" s="135" t="s">
        <v>285</v>
      </c>
      <c r="D289" s="135" t="s">
        <v>260</v>
      </c>
      <c r="E289" s="135" t="s">
        <v>286</v>
      </c>
      <c r="F289" s="135" t="s">
        <v>287</v>
      </c>
      <c r="G289" s="135">
        <v>1</v>
      </c>
      <c r="H289" s="137">
        <v>100</v>
      </c>
      <c r="I289" s="137">
        <v>100</v>
      </c>
      <c r="J289" s="135" t="s">
        <v>288</v>
      </c>
    </row>
    <row r="290" spans="1:10" x14ac:dyDescent="0.3">
      <c r="A290" s="138">
        <v>45261</v>
      </c>
      <c r="B290" s="135" t="s">
        <v>418</v>
      </c>
      <c r="C290" s="135" t="s">
        <v>217</v>
      </c>
      <c r="D290" s="135" t="s">
        <v>213</v>
      </c>
      <c r="E290" s="135" t="s">
        <v>218</v>
      </c>
      <c r="F290" s="135" t="s">
        <v>219</v>
      </c>
      <c r="G290" s="135">
        <v>1</v>
      </c>
      <c r="H290" s="137">
        <v>730</v>
      </c>
      <c r="I290" s="137">
        <v>730</v>
      </c>
      <c r="J290" s="135" t="s">
        <v>216</v>
      </c>
    </row>
    <row r="291" spans="1:10" x14ac:dyDescent="0.3">
      <c r="A291" s="138">
        <v>45262</v>
      </c>
      <c r="B291" s="135" t="s">
        <v>418</v>
      </c>
      <c r="C291" s="135" t="s">
        <v>379</v>
      </c>
      <c r="D291" s="135" t="s">
        <v>213</v>
      </c>
      <c r="E291" s="135" t="s">
        <v>214</v>
      </c>
      <c r="F291" s="135" t="s">
        <v>380</v>
      </c>
      <c r="G291" s="135">
        <v>1</v>
      </c>
      <c r="H291" s="137">
        <v>20</v>
      </c>
      <c r="I291" s="137">
        <v>20</v>
      </c>
      <c r="J291" s="135" t="s">
        <v>216</v>
      </c>
    </row>
    <row r="292" spans="1:10" x14ac:dyDescent="0.3">
      <c r="A292" s="138">
        <v>45262</v>
      </c>
      <c r="B292" s="135" t="s">
        <v>418</v>
      </c>
      <c r="C292" s="135" t="s">
        <v>381</v>
      </c>
      <c r="D292" s="135" t="s">
        <v>213</v>
      </c>
      <c r="E292" s="135" t="s">
        <v>224</v>
      </c>
      <c r="F292" s="135" t="s">
        <v>382</v>
      </c>
      <c r="G292" s="135">
        <v>2</v>
      </c>
      <c r="H292" s="137">
        <v>16</v>
      </c>
      <c r="I292" s="137">
        <v>32</v>
      </c>
      <c r="J292" s="135" t="s">
        <v>216</v>
      </c>
    </row>
    <row r="293" spans="1:10" x14ac:dyDescent="0.3">
      <c r="A293" s="138">
        <v>45262</v>
      </c>
      <c r="B293" s="135" t="s">
        <v>418</v>
      </c>
      <c r="C293" s="135" t="s">
        <v>383</v>
      </c>
      <c r="D293" s="135" t="s">
        <v>213</v>
      </c>
      <c r="E293" s="135" t="s">
        <v>214</v>
      </c>
      <c r="F293" s="135" t="s">
        <v>380</v>
      </c>
      <c r="G293" s="135">
        <v>1</v>
      </c>
      <c r="H293" s="137">
        <v>5.5</v>
      </c>
      <c r="I293" s="137">
        <v>5.5</v>
      </c>
      <c r="J293" s="135" t="s">
        <v>216</v>
      </c>
    </row>
    <row r="294" spans="1:10" x14ac:dyDescent="0.3">
      <c r="A294" s="138">
        <v>45265</v>
      </c>
      <c r="B294" s="135" t="s">
        <v>418</v>
      </c>
      <c r="C294" s="135" t="s">
        <v>234</v>
      </c>
      <c r="D294" s="135" t="s">
        <v>235</v>
      </c>
      <c r="E294" s="135" t="s">
        <v>236</v>
      </c>
      <c r="F294" s="135" t="s">
        <v>237</v>
      </c>
      <c r="G294" s="135">
        <v>1</v>
      </c>
      <c r="H294" s="137">
        <v>1600</v>
      </c>
      <c r="I294" s="137">
        <v>1600</v>
      </c>
      <c r="J294" s="135" t="s">
        <v>216</v>
      </c>
    </row>
    <row r="295" spans="1:10" x14ac:dyDescent="0.3">
      <c r="A295" s="138">
        <v>45266</v>
      </c>
      <c r="B295" s="135" t="s">
        <v>418</v>
      </c>
      <c r="C295" s="135" t="s">
        <v>419</v>
      </c>
      <c r="D295" s="135" t="s">
        <v>298</v>
      </c>
      <c r="E295" s="135" t="s">
        <v>420</v>
      </c>
      <c r="F295" s="135" t="s">
        <v>386</v>
      </c>
      <c r="G295" s="135">
        <v>1</v>
      </c>
      <c r="H295" s="137">
        <v>2500</v>
      </c>
      <c r="I295" s="137">
        <v>2500</v>
      </c>
      <c r="J295" s="135" t="s">
        <v>288</v>
      </c>
    </row>
    <row r="296" spans="1:10" x14ac:dyDescent="0.3">
      <c r="A296" s="138">
        <v>45266</v>
      </c>
      <c r="B296" s="135" t="s">
        <v>418</v>
      </c>
      <c r="C296" s="135" t="s">
        <v>226</v>
      </c>
      <c r="D296" s="135" t="s">
        <v>227</v>
      </c>
      <c r="E296" s="135" t="s">
        <v>228</v>
      </c>
      <c r="F296" s="135" t="s">
        <v>229</v>
      </c>
      <c r="G296" s="135">
        <v>1</v>
      </c>
      <c r="H296" s="137">
        <v>110</v>
      </c>
      <c r="I296" s="137">
        <v>110</v>
      </c>
      <c r="J296" s="135" t="s">
        <v>216</v>
      </c>
    </row>
    <row r="297" spans="1:10" x14ac:dyDescent="0.3">
      <c r="A297" s="138">
        <v>45268</v>
      </c>
      <c r="B297" s="135" t="s">
        <v>418</v>
      </c>
      <c r="C297" s="135" t="s">
        <v>238</v>
      </c>
      <c r="D297" s="135" t="s">
        <v>239</v>
      </c>
      <c r="E297" s="135" t="s">
        <v>240</v>
      </c>
      <c r="F297" s="135" t="s">
        <v>241</v>
      </c>
      <c r="G297" s="135">
        <v>1</v>
      </c>
      <c r="H297" s="137">
        <v>600</v>
      </c>
      <c r="I297" s="137">
        <v>600</v>
      </c>
      <c r="J297" s="135" t="s">
        <v>26</v>
      </c>
    </row>
    <row r="298" spans="1:10" x14ac:dyDescent="0.3">
      <c r="A298" s="138">
        <v>45268</v>
      </c>
      <c r="B298" s="135" t="s">
        <v>418</v>
      </c>
      <c r="C298" s="135" t="s">
        <v>272</v>
      </c>
      <c r="D298" s="135" t="s">
        <v>227</v>
      </c>
      <c r="E298" s="135" t="s">
        <v>273</v>
      </c>
      <c r="F298" s="135" t="s">
        <v>274</v>
      </c>
      <c r="G298" s="135">
        <v>3</v>
      </c>
      <c r="H298" s="137">
        <v>5</v>
      </c>
      <c r="I298" s="137">
        <v>15</v>
      </c>
      <c r="J298" s="135" t="s">
        <v>216</v>
      </c>
    </row>
    <row r="299" spans="1:10" x14ac:dyDescent="0.3">
      <c r="A299" s="138">
        <v>45269</v>
      </c>
      <c r="B299" s="135" t="s">
        <v>418</v>
      </c>
      <c r="C299" s="135" t="s">
        <v>390</v>
      </c>
      <c r="D299" s="135" t="s">
        <v>213</v>
      </c>
      <c r="E299" s="135" t="s">
        <v>221</v>
      </c>
      <c r="F299" s="135" t="s">
        <v>391</v>
      </c>
      <c r="G299" s="135">
        <v>1</v>
      </c>
      <c r="H299" s="137">
        <v>129</v>
      </c>
      <c r="I299" s="137">
        <v>129</v>
      </c>
      <c r="J299" s="135" t="s">
        <v>216</v>
      </c>
    </row>
    <row r="300" spans="1:10" x14ac:dyDescent="0.3">
      <c r="A300" s="138">
        <v>45269</v>
      </c>
      <c r="B300" s="135" t="s">
        <v>418</v>
      </c>
      <c r="C300" s="135" t="s">
        <v>223</v>
      </c>
      <c r="D300" s="135" t="s">
        <v>213</v>
      </c>
      <c r="E300" s="135" t="s">
        <v>224</v>
      </c>
      <c r="F300" s="135" t="s">
        <v>225</v>
      </c>
      <c r="G300" s="135">
        <v>3</v>
      </c>
      <c r="H300" s="137">
        <v>9</v>
      </c>
      <c r="I300" s="137">
        <v>27</v>
      </c>
      <c r="J300" s="135" t="s">
        <v>216</v>
      </c>
    </row>
    <row r="301" spans="1:10" x14ac:dyDescent="0.3">
      <c r="A301" s="138">
        <v>45269</v>
      </c>
      <c r="B301" s="135" t="s">
        <v>418</v>
      </c>
      <c r="C301" s="135" t="s">
        <v>392</v>
      </c>
      <c r="D301" s="135" t="s">
        <v>213</v>
      </c>
      <c r="E301" s="135" t="s">
        <v>221</v>
      </c>
      <c r="F301" s="135" t="s">
        <v>391</v>
      </c>
      <c r="G301" s="135">
        <v>1</v>
      </c>
      <c r="H301" s="137">
        <v>99</v>
      </c>
      <c r="I301" s="137">
        <v>99</v>
      </c>
      <c r="J301" s="135" t="s">
        <v>216</v>
      </c>
    </row>
    <row r="302" spans="1:10" x14ac:dyDescent="0.3">
      <c r="A302" s="138">
        <v>45270</v>
      </c>
      <c r="B302" s="135" t="s">
        <v>418</v>
      </c>
      <c r="C302" s="135" t="s">
        <v>253</v>
      </c>
      <c r="D302" s="135" t="s">
        <v>254</v>
      </c>
      <c r="E302" s="135" t="s">
        <v>255</v>
      </c>
      <c r="F302" s="135" t="s">
        <v>45</v>
      </c>
      <c r="G302" s="135">
        <v>1</v>
      </c>
      <c r="H302" s="137">
        <v>1100</v>
      </c>
      <c r="I302" s="137">
        <v>1100</v>
      </c>
      <c r="J302" s="135" t="s">
        <v>45</v>
      </c>
    </row>
    <row r="303" spans="1:10" x14ac:dyDescent="0.3">
      <c r="A303" s="138">
        <v>45270</v>
      </c>
      <c r="B303" s="135" t="s">
        <v>418</v>
      </c>
      <c r="C303" s="135" t="s">
        <v>256</v>
      </c>
      <c r="D303" s="135" t="s">
        <v>254</v>
      </c>
      <c r="E303" s="135" t="s">
        <v>257</v>
      </c>
      <c r="F303" s="135" t="s">
        <v>258</v>
      </c>
      <c r="G303" s="135">
        <v>1</v>
      </c>
      <c r="H303" s="137">
        <v>100</v>
      </c>
      <c r="I303" s="137">
        <v>100</v>
      </c>
      <c r="J303" s="135" t="s">
        <v>52</v>
      </c>
    </row>
    <row r="304" spans="1:10" x14ac:dyDescent="0.3">
      <c r="A304" s="138">
        <v>45272</v>
      </c>
      <c r="B304" s="135" t="s">
        <v>418</v>
      </c>
      <c r="C304" s="135" t="s">
        <v>421</v>
      </c>
      <c r="D304" s="135" t="s">
        <v>243</v>
      </c>
      <c r="E304" s="135" t="s">
        <v>315</v>
      </c>
      <c r="F304" s="135" t="s">
        <v>422</v>
      </c>
      <c r="G304" s="135">
        <v>1</v>
      </c>
      <c r="H304" s="137">
        <v>1000</v>
      </c>
      <c r="I304" s="137">
        <v>1000</v>
      </c>
      <c r="J304" s="135" t="s">
        <v>216</v>
      </c>
    </row>
    <row r="305" spans="1:10" x14ac:dyDescent="0.3">
      <c r="A305" s="138">
        <v>45275</v>
      </c>
      <c r="B305" s="135" t="s">
        <v>418</v>
      </c>
      <c r="C305" s="135" t="s">
        <v>217</v>
      </c>
      <c r="D305" s="135" t="s">
        <v>213</v>
      </c>
      <c r="E305" s="135" t="s">
        <v>218</v>
      </c>
      <c r="F305" s="135" t="s">
        <v>219</v>
      </c>
      <c r="G305" s="135">
        <v>1</v>
      </c>
      <c r="H305" s="137">
        <v>810</v>
      </c>
      <c r="I305" s="137">
        <v>810</v>
      </c>
      <c r="J305" s="135" t="s">
        <v>216</v>
      </c>
    </row>
    <row r="306" spans="1:10" x14ac:dyDescent="0.3">
      <c r="A306" s="138">
        <v>45275</v>
      </c>
      <c r="B306" s="135" t="s">
        <v>418</v>
      </c>
      <c r="C306" s="135" t="s">
        <v>301</v>
      </c>
      <c r="D306" s="135" t="s">
        <v>227</v>
      </c>
      <c r="E306" s="135" t="s">
        <v>228</v>
      </c>
      <c r="F306" s="135" t="s">
        <v>302</v>
      </c>
      <c r="G306" s="135">
        <v>1</v>
      </c>
      <c r="H306" s="137">
        <v>5</v>
      </c>
      <c r="I306" s="137">
        <v>5</v>
      </c>
      <c r="J306" s="135" t="s">
        <v>216</v>
      </c>
    </row>
    <row r="307" spans="1:10" x14ac:dyDescent="0.3">
      <c r="A307" s="138">
        <v>45275</v>
      </c>
      <c r="B307" s="135" t="s">
        <v>418</v>
      </c>
      <c r="C307" s="135" t="s">
        <v>259</v>
      </c>
      <c r="D307" s="135" t="s">
        <v>260</v>
      </c>
      <c r="E307" s="135" t="s">
        <v>261</v>
      </c>
      <c r="F307" s="135" t="s">
        <v>262</v>
      </c>
      <c r="G307" s="135">
        <v>1</v>
      </c>
      <c r="H307" s="137">
        <v>33</v>
      </c>
      <c r="I307" s="137">
        <v>33</v>
      </c>
      <c r="J307" s="135" t="s">
        <v>216</v>
      </c>
    </row>
    <row r="308" spans="1:10" x14ac:dyDescent="0.3">
      <c r="A308" s="138">
        <v>45276</v>
      </c>
      <c r="B308" s="135" t="s">
        <v>418</v>
      </c>
      <c r="C308" s="135" t="s">
        <v>360</v>
      </c>
      <c r="D308" s="135" t="s">
        <v>213</v>
      </c>
      <c r="E308" s="135" t="s">
        <v>214</v>
      </c>
      <c r="F308" s="135" t="s">
        <v>361</v>
      </c>
      <c r="G308" s="135">
        <v>3</v>
      </c>
      <c r="H308" s="137">
        <v>7</v>
      </c>
      <c r="I308" s="137">
        <v>21</v>
      </c>
      <c r="J308" s="135" t="s">
        <v>216</v>
      </c>
    </row>
    <row r="309" spans="1:10" x14ac:dyDescent="0.3">
      <c r="A309" s="138">
        <v>45276</v>
      </c>
      <c r="B309" s="135" t="s">
        <v>418</v>
      </c>
      <c r="C309" s="135" t="s">
        <v>303</v>
      </c>
      <c r="D309" s="135" t="s">
        <v>213</v>
      </c>
      <c r="E309" s="135" t="s">
        <v>224</v>
      </c>
      <c r="F309" s="135" t="s">
        <v>304</v>
      </c>
      <c r="G309" s="135">
        <v>3</v>
      </c>
      <c r="H309" s="137">
        <v>6</v>
      </c>
      <c r="I309" s="137">
        <v>18</v>
      </c>
      <c r="J309" s="135" t="s">
        <v>216</v>
      </c>
    </row>
    <row r="310" spans="1:10" x14ac:dyDescent="0.3">
      <c r="A310" s="138">
        <v>45276</v>
      </c>
      <c r="B310" s="135" t="s">
        <v>418</v>
      </c>
      <c r="C310" s="135" t="s">
        <v>393</v>
      </c>
      <c r="D310" s="135" t="s">
        <v>213</v>
      </c>
      <c r="E310" s="135" t="s">
        <v>221</v>
      </c>
      <c r="F310" s="135" t="s">
        <v>394</v>
      </c>
      <c r="G310" s="135">
        <v>2</v>
      </c>
      <c r="H310" s="137">
        <v>24.9</v>
      </c>
      <c r="I310" s="137">
        <v>49.8</v>
      </c>
      <c r="J310" s="135" t="s">
        <v>216</v>
      </c>
    </row>
    <row r="311" spans="1:10" x14ac:dyDescent="0.3">
      <c r="A311" s="138">
        <v>45280</v>
      </c>
      <c r="B311" s="135" t="s">
        <v>418</v>
      </c>
      <c r="C311" s="135" t="s">
        <v>267</v>
      </c>
      <c r="D311" s="135" t="s">
        <v>227</v>
      </c>
      <c r="E311" s="135" t="s">
        <v>268</v>
      </c>
      <c r="F311" s="135" t="s">
        <v>237</v>
      </c>
      <c r="G311" s="135">
        <v>1</v>
      </c>
      <c r="H311" s="137">
        <v>1200</v>
      </c>
      <c r="I311" s="137">
        <v>1200</v>
      </c>
      <c r="J311" s="135" t="s">
        <v>216</v>
      </c>
    </row>
    <row r="312" spans="1:10" x14ac:dyDescent="0.3">
      <c r="A312" s="138">
        <v>45280</v>
      </c>
      <c r="B312" s="135" t="s">
        <v>418</v>
      </c>
      <c r="C312" s="135" t="s">
        <v>423</v>
      </c>
      <c r="D312" s="135" t="s">
        <v>352</v>
      </c>
      <c r="E312" s="135" t="s">
        <v>353</v>
      </c>
      <c r="F312" s="135" t="s">
        <v>354</v>
      </c>
      <c r="G312" s="135">
        <v>1</v>
      </c>
      <c r="H312" s="137">
        <v>100</v>
      </c>
      <c r="I312" s="137">
        <v>100</v>
      </c>
      <c r="J312" s="135" t="s">
        <v>216</v>
      </c>
    </row>
    <row r="313" spans="1:10" x14ac:dyDescent="0.3">
      <c r="A313" s="138">
        <v>45280</v>
      </c>
      <c r="B313" s="135" t="s">
        <v>418</v>
      </c>
      <c r="C313" s="135" t="s">
        <v>226</v>
      </c>
      <c r="D313" s="135" t="s">
        <v>227</v>
      </c>
      <c r="E313" s="135" t="s">
        <v>228</v>
      </c>
      <c r="F313" s="135" t="s">
        <v>229</v>
      </c>
      <c r="G313" s="135">
        <v>1</v>
      </c>
      <c r="H313" s="137">
        <v>110</v>
      </c>
      <c r="I313" s="137">
        <v>110</v>
      </c>
      <c r="J313" s="135" t="s">
        <v>216</v>
      </c>
    </row>
    <row r="314" spans="1:10" x14ac:dyDescent="0.3">
      <c r="A314" s="138">
        <v>45284</v>
      </c>
      <c r="B314" s="135" t="s">
        <v>418</v>
      </c>
      <c r="C314" s="135" t="s">
        <v>280</v>
      </c>
      <c r="D314" s="135" t="s">
        <v>254</v>
      </c>
      <c r="E314" s="135" t="s">
        <v>255</v>
      </c>
      <c r="F314" s="135" t="s">
        <v>281</v>
      </c>
      <c r="G314" s="135">
        <v>1</v>
      </c>
      <c r="H314" s="137">
        <v>500</v>
      </c>
      <c r="I314" s="137">
        <v>500</v>
      </c>
      <c r="J314" s="135" t="s">
        <v>49</v>
      </c>
    </row>
    <row r="315" spans="1:10" x14ac:dyDescent="0.3">
      <c r="A315" s="138">
        <v>45285</v>
      </c>
      <c r="B315" s="135" t="s">
        <v>418</v>
      </c>
      <c r="C315" s="135" t="s">
        <v>282</v>
      </c>
      <c r="D315" s="135" t="s">
        <v>260</v>
      </c>
      <c r="E315" s="135" t="s">
        <v>283</v>
      </c>
      <c r="F315" s="135" t="s">
        <v>284</v>
      </c>
      <c r="G315" s="135">
        <v>1</v>
      </c>
      <c r="H315" s="137">
        <v>90</v>
      </c>
      <c r="I315" s="137">
        <v>90</v>
      </c>
      <c r="J315" s="135" t="s">
        <v>216</v>
      </c>
    </row>
    <row r="316" spans="1:10" x14ac:dyDescent="0.3">
      <c r="A316" s="138">
        <v>45286</v>
      </c>
      <c r="B316" s="135" t="s">
        <v>418</v>
      </c>
      <c r="C316" s="135" t="s">
        <v>424</v>
      </c>
      <c r="D316" s="135" t="s">
        <v>243</v>
      </c>
      <c r="E316" s="135" t="s">
        <v>244</v>
      </c>
      <c r="F316" s="135" t="s">
        <v>245</v>
      </c>
      <c r="G316" s="135">
        <v>3</v>
      </c>
      <c r="H316" s="137">
        <v>17</v>
      </c>
      <c r="I316" s="137">
        <v>51</v>
      </c>
      <c r="J316" s="135" t="s">
        <v>216</v>
      </c>
    </row>
    <row r="317" spans="1:10" x14ac:dyDescent="0.3">
      <c r="A317" s="138">
        <v>45287</v>
      </c>
      <c r="B317" s="135" t="s">
        <v>418</v>
      </c>
      <c r="C317" s="135" t="s">
        <v>285</v>
      </c>
      <c r="D317" s="135" t="s">
        <v>260</v>
      </c>
      <c r="E317" s="135" t="s">
        <v>286</v>
      </c>
      <c r="F317" s="135" t="s">
        <v>287</v>
      </c>
      <c r="G317" s="135">
        <v>1</v>
      </c>
      <c r="H317" s="137">
        <v>100</v>
      </c>
      <c r="I317" s="137">
        <v>100</v>
      </c>
      <c r="J317" s="135" t="s">
        <v>288</v>
      </c>
    </row>
    <row r="318" spans="1:10" x14ac:dyDescent="0.3">
      <c r="A318" s="138"/>
      <c r="H318" s="137"/>
      <c r="I318" s="137"/>
    </row>
  </sheetData>
  <sheetProtection selectLockedCells="1"/>
  <dataValidations count="1">
    <dataValidation type="list" allowBlank="1" showInputMessage="1" showErrorMessage="1" sqref="J2" xr:uid="{755E5237-1B10-4330-8C4A-5AA69EB533AE}">
      <formula1>All_TaxRelief</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B97EA056-5D34-4346-87A9-1042EB751B38}">
          <x14:formula1>
            <xm:f>OFFSET('Categories (expenses)'!$T$2,,,COUNTA('Categories (expenses)'!$T:$T)-1,1)</xm:f>
          </x14:formula1>
          <xm:sqref>J3:J318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1B7FF-B286-458C-9578-8BE712849E54}">
  <sheetPr codeName="Sheet11"/>
  <dimension ref="A1:I45"/>
  <sheetViews>
    <sheetView showGridLines="0" showRowColHeaders="0" zoomScale="98" zoomScaleNormal="98" workbookViewId="0">
      <pane ySplit="1" topLeftCell="A2" activePane="bottomLeft" state="frozen"/>
      <selection pane="bottomLeft" activeCell="J34" sqref="J34"/>
    </sheetView>
  </sheetViews>
  <sheetFormatPr defaultRowHeight="14.4" x14ac:dyDescent="0.3"/>
  <cols>
    <col min="2" max="2" width="17.5546875" customWidth="1"/>
    <col min="3" max="3" width="61.21875" customWidth="1"/>
    <col min="5" max="5" width="21.21875" bestFit="1" customWidth="1"/>
    <col min="7" max="7" width="22.5546875" bestFit="1" customWidth="1"/>
    <col min="8" max="8" width="8.88671875" customWidth="1"/>
    <col min="9" max="9" width="19.6640625" bestFit="1" customWidth="1"/>
  </cols>
  <sheetData>
    <row r="1" spans="1:9" s="129" customFormat="1" ht="40.049999999999997" customHeight="1" thickBot="1" x14ac:dyDescent="0.35"/>
    <row r="2" spans="1:9" s="123" customFormat="1" ht="15" thickTop="1" x14ac:dyDescent="0.3"/>
    <row r="3" spans="1:9" s="123" customFormat="1" x14ac:dyDescent="0.3">
      <c r="B3" s="177" t="e" vm="3">
        <v>#VALUE!</v>
      </c>
      <c r="C3" s="178" t="s">
        <v>430</v>
      </c>
      <c r="E3" s="124" t="s">
        <v>431</v>
      </c>
      <c r="G3" s="124" t="s">
        <v>432</v>
      </c>
      <c r="I3" s="124" t="s">
        <v>433</v>
      </c>
    </row>
    <row r="4" spans="1:9" s="123" customFormat="1" ht="34.799999999999997" customHeight="1" x14ac:dyDescent="0.3">
      <c r="B4" s="177"/>
      <c r="C4" s="179"/>
      <c r="D4" s="125"/>
      <c r="E4" s="126">
        <f>'Pivot Tables'!$A$3</f>
        <v>123344.50000000001</v>
      </c>
      <c r="G4" s="127">
        <f>'Pivot Tables'!$B$3</f>
        <v>482</v>
      </c>
      <c r="I4" s="128">
        <f>'Pivot Tables'!$C$3</f>
        <v>391.56984126984133</v>
      </c>
    </row>
    <row r="5" spans="1:9" s="123" customFormat="1" ht="7.2" customHeight="1" x14ac:dyDescent="0.3"/>
    <row r="7" spans="1:9" x14ac:dyDescent="0.3">
      <c r="A7" s="135"/>
      <c r="B7" s="135"/>
      <c r="C7" s="135"/>
    </row>
    <row r="8" spans="1:9" x14ac:dyDescent="0.3">
      <c r="A8" s="135"/>
      <c r="B8" s="135"/>
      <c r="C8" s="135"/>
    </row>
    <row r="9" spans="1:9" x14ac:dyDescent="0.3">
      <c r="A9" s="135"/>
      <c r="B9" s="135"/>
      <c r="C9" s="135"/>
    </row>
    <row r="10" spans="1:9" x14ac:dyDescent="0.3">
      <c r="A10" s="135"/>
      <c r="B10" s="135"/>
      <c r="C10" s="135"/>
    </row>
    <row r="11" spans="1:9" x14ac:dyDescent="0.3">
      <c r="A11" s="135"/>
      <c r="B11" s="135"/>
      <c r="C11" s="135"/>
    </row>
    <row r="12" spans="1:9" x14ac:dyDescent="0.3">
      <c r="A12" s="135"/>
      <c r="B12" s="135"/>
      <c r="C12" s="135"/>
    </row>
    <row r="13" spans="1:9" x14ac:dyDescent="0.3">
      <c r="A13" s="135"/>
      <c r="B13" s="135"/>
      <c r="C13" s="135"/>
    </row>
    <row r="14" spans="1:9" x14ac:dyDescent="0.3">
      <c r="A14" s="135"/>
      <c r="B14" s="135"/>
      <c r="C14" s="135"/>
    </row>
    <row r="15" spans="1:9" x14ac:dyDescent="0.3">
      <c r="A15" s="135"/>
      <c r="B15" s="135"/>
      <c r="C15" s="135"/>
    </row>
    <row r="16" spans="1:9" x14ac:dyDescent="0.3">
      <c r="A16" s="135"/>
      <c r="B16" s="135"/>
      <c r="C16" s="135"/>
    </row>
    <row r="17" spans="1:3" x14ac:dyDescent="0.3">
      <c r="A17" s="135"/>
      <c r="B17" s="135"/>
      <c r="C17" s="135"/>
    </row>
    <row r="18" spans="1:3" x14ac:dyDescent="0.3">
      <c r="A18" s="135"/>
      <c r="B18" s="135"/>
      <c r="C18" s="135"/>
    </row>
    <row r="19" spans="1:3" x14ac:dyDescent="0.3">
      <c r="A19" s="135"/>
      <c r="B19" s="135"/>
      <c r="C19" s="135"/>
    </row>
    <row r="20" spans="1:3" x14ac:dyDescent="0.3">
      <c r="A20" s="135"/>
      <c r="B20" s="135"/>
      <c r="C20" s="135"/>
    </row>
    <row r="21" spans="1:3" x14ac:dyDescent="0.3">
      <c r="A21" s="135"/>
      <c r="B21" s="135"/>
      <c r="C21" s="135"/>
    </row>
    <row r="22" spans="1:3" x14ac:dyDescent="0.3">
      <c r="A22" s="135"/>
      <c r="B22" s="135"/>
      <c r="C22" s="135"/>
    </row>
    <row r="23" spans="1:3" x14ac:dyDescent="0.3">
      <c r="A23" s="135"/>
      <c r="B23" s="135"/>
      <c r="C23" s="135"/>
    </row>
    <row r="24" spans="1:3" x14ac:dyDescent="0.3">
      <c r="A24" s="135"/>
      <c r="B24" s="135"/>
      <c r="C24" s="135"/>
    </row>
    <row r="25" spans="1:3" x14ac:dyDescent="0.3">
      <c r="A25" s="135"/>
      <c r="B25" s="135"/>
      <c r="C25" s="135"/>
    </row>
    <row r="45" spans="8:8" x14ac:dyDescent="0.3">
      <c r="H45" s="136" t="s">
        <v>243</v>
      </c>
    </row>
  </sheetData>
  <sheetProtection algorithmName="SHA-512" hashValue="NGBXvL4B1D0urmFJXkQjh4zM3dKm/bLPDHWgbP4xkjvGI/oML1Q54ydIcoGeGptorYm+gfGUqcxCyLQx2QyqsA==" saltValue="EW744OJsUKn5mAx8EklNlQ==" spinCount="100000" sheet="1" objects="1" scenarios="1" selectLockedCells="1" selectUnlockedCells="1"/>
  <mergeCells count="2">
    <mergeCell ref="B3:B4"/>
    <mergeCell ref="C3:C4"/>
  </mergeCells>
  <pageMargins left="0.7" right="0.7" top="0.75" bottom="0.75" header="0.3" footer="0.3"/>
  <drawing r:id="rId1"/>
  <legacyDrawing r:id="rId2"/>
  <controls>
    <mc:AlternateContent xmlns:mc="http://schemas.openxmlformats.org/markup-compatibility/2006">
      <mc:Choice Requires="x14">
        <control shapeId="8193" r:id="rId3" name="ComboBox1">
          <controlPr defaultSize="0" autoLine="0" linkedCell="H45" listFillRange="TreeMapList" r:id="rId4">
            <anchor moveWithCells="1">
              <from>
                <xdr:col>5</xdr:col>
                <xdr:colOff>220980</xdr:colOff>
                <xdr:row>42</xdr:row>
                <xdr:rowOff>129540</xdr:rowOff>
              </from>
              <to>
                <xdr:col>6</xdr:col>
                <xdr:colOff>967740</xdr:colOff>
                <xdr:row>43</xdr:row>
                <xdr:rowOff>152400</xdr:rowOff>
              </to>
            </anchor>
          </controlPr>
        </control>
      </mc:Choice>
      <mc:Fallback>
        <control shapeId="8193" r:id="rId3" name="ComboBox1"/>
      </mc:Fallback>
    </mc:AlternateContent>
  </controls>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C89F-2DC1-4D70-B1EB-C10F2468AB90}">
  <sheetPr codeName="Sheet10"/>
  <dimension ref="A2:AL49"/>
  <sheetViews>
    <sheetView showGridLines="0" showRowColHeaders="0" zoomScaleNormal="100" workbookViewId="0">
      <selection activeCell="C13" sqref="C13"/>
    </sheetView>
  </sheetViews>
  <sheetFormatPr defaultRowHeight="14.4" x14ac:dyDescent="0.3"/>
  <cols>
    <col min="1" max="1" width="11.6640625" bestFit="1" customWidth="1"/>
    <col min="2" max="2" width="11" bestFit="1" customWidth="1"/>
    <col min="3" max="3" width="14.88671875" bestFit="1" customWidth="1"/>
    <col min="5" max="5" width="12.5546875" bestFit="1" customWidth="1"/>
    <col min="6" max="6" width="14.88671875" bestFit="1" customWidth="1"/>
    <col min="8" max="8" width="13.21875" bestFit="1" customWidth="1"/>
    <col min="9" max="9" width="11.6640625" bestFit="1" customWidth="1"/>
    <col min="10" max="10" width="12.88671875" customWidth="1"/>
    <col min="19" max="19" width="12.5546875" bestFit="1" customWidth="1"/>
    <col min="20" max="20" width="11.6640625" bestFit="1" customWidth="1"/>
  </cols>
  <sheetData>
    <row r="2" spans="1:38" x14ac:dyDescent="0.3">
      <c r="A2" t="s">
        <v>425</v>
      </c>
      <c r="B2" t="s">
        <v>426</v>
      </c>
      <c r="C2" t="s">
        <v>427</v>
      </c>
      <c r="E2" s="122" t="s">
        <v>14</v>
      </c>
      <c r="F2" t="s">
        <v>243</v>
      </c>
      <c r="H2" s="122" t="s">
        <v>204</v>
      </c>
      <c r="I2" t="s">
        <v>211</v>
      </c>
      <c r="K2" s="117" t="s">
        <v>14</v>
      </c>
      <c r="L2" s="117" t="s">
        <v>206</v>
      </c>
      <c r="M2" s="117" t="s">
        <v>56</v>
      </c>
      <c r="S2" s="122" t="s">
        <v>428</v>
      </c>
      <c r="T2" t="s">
        <v>425</v>
      </c>
      <c r="W2" t="str">
        <f>IF($I$2="(All)","Annual",$I$2)</f>
        <v>January</v>
      </c>
      <c r="Y2" t="str" cm="1">
        <f t="array" aca="1" ref="Y2:Y12" ca="1">_xlfn.UNIQUE(OFFSET($O$3,,,COUNTA(O:O),1))</f>
        <v/>
      </c>
      <c r="AA2" s="118" t="s">
        <v>204</v>
      </c>
      <c r="AB2" s="118" t="s">
        <v>56</v>
      </c>
      <c r="AD2" t="str">
        <f>IF($F$2="(All)","All",$F$2)</f>
        <v>Entertainment</v>
      </c>
      <c r="AH2" s="118" t="s">
        <v>14</v>
      </c>
      <c r="AI2" s="118" t="s">
        <v>206</v>
      </c>
      <c r="AJ2" s="118" t="s">
        <v>56</v>
      </c>
    </row>
    <row r="3" spans="1:38" x14ac:dyDescent="0.3">
      <c r="A3">
        <v>123344.50000000001</v>
      </c>
      <c r="B3">
        <v>482</v>
      </c>
      <c r="C3">
        <v>391.56984126984133</v>
      </c>
      <c r="K3" t="str">
        <f>_xlfn.XLOOKUP($L3,Expenses_2023[Subcategory],Expenses_2023[Category],"",0)</f>
        <v>Food</v>
      </c>
      <c r="L3" t="str" cm="1">
        <f t="array" ref="L3:L34">_xlfn.UNIQUE(Expenses_2023[Subcategory])</f>
        <v>Breakfast</v>
      </c>
      <c r="M3">
        <f>IF($L3&lt;&gt;"",SUMIFS(Expenses_2023[Total],Expenses_2023[Subcategory],$L3),"")</f>
        <v>636.79999999999995</v>
      </c>
      <c r="O3" t="str" cm="1">
        <f t="array" aca="1" ref="O3:Q34" ca="1">_xlfn._xlws.SORT(OFFSET($K$3,,,COUNTA(_xlfn.ANCHORARRAY(L3)),3),1,1)</f>
        <v/>
      </c>
      <c r="P3">
        <f ca="1"/>
        <v>0</v>
      </c>
      <c r="Q3">
        <f ca="1"/>
        <v>0</v>
      </c>
      <c r="S3" s="119" t="s">
        <v>237</v>
      </c>
      <c r="T3" s="90">
        <v>33600</v>
      </c>
      <c r="W3" t="str">
        <f>$W$2&amp;" Expenses By Category"</f>
        <v>January Expenses By Category</v>
      </c>
      <c r="Y3" t="str">
        <f ca="1"/>
        <v>Education</v>
      </c>
      <c r="AA3" s="120" t="str" cm="1">
        <f t="array" aca="1" ref="AA3:AB14" ca="1">IF(ISTEXT(OFFSET($E$5,,,COUNTA(E:E)-3,2)),UPPER(LEFT(OFFSET($E$5,,,COUNTA(E:E)-3,2),3)),OFFSET($E$5,,,COUNTA(E:E)-3,2))</f>
        <v>JAN</v>
      </c>
      <c r="AB3">
        <f ca="1"/>
        <v>434</v>
      </c>
      <c r="AD3" t="str">
        <f>$AD$2&amp;" Expenses By Month"</f>
        <v>Entertainment Expenses By Month</v>
      </c>
      <c r="AH3" t="str" cm="1">
        <f t="array" aca="1" ref="AH3:AJ9" ca="1">_xlfn._xlws.FILTER(OFFSET($O$3,,,COUNTA(O:O)-1,3),OFFSET($O$3,,,COUNTA(O:O)-1,1)='Dashboard (Expenses)'!$H$45)</f>
        <v>Entertainment</v>
      </c>
      <c r="AI3" t="str">
        <f ca="1"/>
        <v>Movies</v>
      </c>
      <c r="AJ3">
        <f ca="1"/>
        <v>323</v>
      </c>
      <c r="AL3" t="str">
        <f>'Dashboard (Expenses)'!$H$45&amp;" Expenses By Subcategory"</f>
        <v>Entertainment Expenses By Subcategory</v>
      </c>
    </row>
    <row r="4" spans="1:38" x14ac:dyDescent="0.3">
      <c r="E4" s="122" t="s">
        <v>428</v>
      </c>
      <c r="F4" t="s">
        <v>425</v>
      </c>
      <c r="H4" s="122" t="s">
        <v>428</v>
      </c>
      <c r="I4" t="s">
        <v>425</v>
      </c>
      <c r="K4" t="str">
        <f>_xlfn.XLOOKUP($L4,Expenses_2023[Subcategory],Expenses_2023[Category],"",0)</f>
        <v>Food</v>
      </c>
      <c r="L4" t="str">
        <v>Grocery</v>
      </c>
      <c r="M4">
        <f>IF($L4&lt;&gt;"",SUMIFS(Expenses_2023[Total],Expenses_2023[Subcategory],$L4),"")</f>
        <v>18508</v>
      </c>
      <c r="O4" t="str">
        <f ca="1"/>
        <v>Education</v>
      </c>
      <c r="P4" t="str">
        <f ca="1"/>
        <v>Childcare</v>
      </c>
      <c r="Q4">
        <f ca="1"/>
        <v>7200</v>
      </c>
      <c r="S4" s="119" t="s">
        <v>219</v>
      </c>
      <c r="T4" s="90">
        <v>18527</v>
      </c>
      <c r="Y4" t="str">
        <f ca="1"/>
        <v>Electronics</v>
      </c>
      <c r="AA4" s="120" t="str">
        <f ca="1"/>
        <v>FEB</v>
      </c>
      <c r="AB4">
        <f ca="1"/>
        <v>51</v>
      </c>
      <c r="AH4" t="str">
        <f ca="1"/>
        <v>Entertainment</v>
      </c>
      <c r="AI4" t="str">
        <f ca="1"/>
        <v>Concert</v>
      </c>
      <c r="AJ4">
        <f ca="1"/>
        <v>400</v>
      </c>
    </row>
    <row r="5" spans="1:38" x14ac:dyDescent="0.3">
      <c r="E5" s="119" t="s">
        <v>211</v>
      </c>
      <c r="F5">
        <v>434</v>
      </c>
      <c r="H5" s="119" t="s">
        <v>213</v>
      </c>
      <c r="I5">
        <v>1939.4</v>
      </c>
      <c r="K5" t="str">
        <f>_xlfn.XLOOKUP($L5,Expenses_2023[Subcategory],Expenses_2023[Category],"",0)</f>
        <v>Food</v>
      </c>
      <c r="L5" t="str">
        <v>Dinner</v>
      </c>
      <c r="M5">
        <f>IF($L5&lt;&gt;"",SUMIFS(Expenses_2023[Total],Expenses_2023[Subcategory],$L5),"")</f>
        <v>2006</v>
      </c>
      <c r="O5" t="str">
        <f ca="1"/>
        <v>Education</v>
      </c>
      <c r="P5" t="str">
        <f ca="1"/>
        <v>Investment</v>
      </c>
      <c r="Q5">
        <f ca="1"/>
        <v>5000</v>
      </c>
      <c r="S5" s="119" t="s">
        <v>45</v>
      </c>
      <c r="T5" s="90">
        <v>13200</v>
      </c>
      <c r="Y5" t="str">
        <f ca="1"/>
        <v>Entertainment</v>
      </c>
      <c r="AA5" s="120" t="str">
        <f ca="1"/>
        <v>MAR</v>
      </c>
      <c r="AB5">
        <f ca="1"/>
        <v>484</v>
      </c>
      <c r="AH5" t="str">
        <f ca="1"/>
        <v>Entertainment</v>
      </c>
      <c r="AI5" t="str">
        <f ca="1"/>
        <v>Theme Park</v>
      </c>
      <c r="AJ5">
        <f ca="1"/>
        <v>450</v>
      </c>
    </row>
    <row r="6" spans="1:38" x14ac:dyDescent="0.3">
      <c r="E6" s="119" t="s">
        <v>289</v>
      </c>
      <c r="F6">
        <v>51</v>
      </c>
      <c r="H6" s="119" t="s">
        <v>239</v>
      </c>
      <c r="I6">
        <v>5600</v>
      </c>
      <c r="K6" t="str">
        <f>_xlfn.XLOOKUP($L6,Expenses_2023[Subcategory],Expenses_2023[Category],"",0)</f>
        <v>Food</v>
      </c>
      <c r="L6" t="str">
        <v>Lunch</v>
      </c>
      <c r="M6">
        <f>IF($L6&lt;&gt;"",SUMIFS(Expenses_2023[Total],Expenses_2023[Subcategory],$L6),"")</f>
        <v>921.19999999999993</v>
      </c>
      <c r="O6" t="str">
        <f ca="1"/>
        <v>Electronics</v>
      </c>
      <c r="P6" t="str">
        <f ca="1"/>
        <v>Laptop</v>
      </c>
      <c r="Q6">
        <f ca="1"/>
        <v>5000</v>
      </c>
      <c r="S6" s="119" t="s">
        <v>233</v>
      </c>
      <c r="T6" s="90">
        <v>10200</v>
      </c>
      <c r="Y6" t="str">
        <f ca="1"/>
        <v>Food</v>
      </c>
      <c r="AA6" s="120" t="str">
        <f ca="1"/>
        <v>APR</v>
      </c>
      <c r="AB6">
        <f ca="1"/>
        <v>124</v>
      </c>
      <c r="AH6" t="str">
        <f ca="1"/>
        <v>Entertainment</v>
      </c>
      <c r="AI6" t="str">
        <f ca="1"/>
        <v>Music</v>
      </c>
      <c r="AJ6">
        <f ca="1"/>
        <v>255</v>
      </c>
    </row>
    <row r="7" spans="1:38" x14ac:dyDescent="0.3">
      <c r="E7" s="119" t="s">
        <v>317</v>
      </c>
      <c r="F7">
        <v>484</v>
      </c>
      <c r="H7" s="119" t="s">
        <v>243</v>
      </c>
      <c r="I7">
        <v>434</v>
      </c>
      <c r="K7" t="str">
        <f>_xlfn.XLOOKUP($L7,Expenses_2023[Subcategory],Expenses_2023[Category],"",0)</f>
        <v>Transportation</v>
      </c>
      <c r="L7" t="str">
        <v>Personal</v>
      </c>
      <c r="M7">
        <f>IF($L7&lt;&gt;"",SUMIFS(Expenses_2023[Total],Expenses_2023[Subcategory],$L7),"")</f>
        <v>2134</v>
      </c>
      <c r="O7" t="str">
        <f ca="1"/>
        <v>Electronics</v>
      </c>
      <c r="P7" t="str">
        <f ca="1"/>
        <v>Gaming</v>
      </c>
      <c r="Q7">
        <f ca="1"/>
        <v>3160</v>
      </c>
      <c r="S7" s="119" t="s">
        <v>241</v>
      </c>
      <c r="T7" s="90">
        <v>7200</v>
      </c>
      <c r="Y7" t="str">
        <f ca="1"/>
        <v>Health</v>
      </c>
      <c r="AA7" s="120" t="str">
        <f ca="1"/>
        <v>MAY</v>
      </c>
      <c r="AB7">
        <f ca="1"/>
        <v>34</v>
      </c>
      <c r="AH7" t="str">
        <f ca="1"/>
        <v>Entertainment</v>
      </c>
      <c r="AI7" t="str">
        <f ca="1"/>
        <v>Comedy</v>
      </c>
      <c r="AJ7">
        <f ca="1"/>
        <v>360</v>
      </c>
    </row>
    <row r="8" spans="1:38" x14ac:dyDescent="0.3">
      <c r="E8" s="119" t="s">
        <v>337</v>
      </c>
      <c r="F8">
        <v>124</v>
      </c>
      <c r="H8" s="119" t="s">
        <v>235</v>
      </c>
      <c r="I8">
        <v>1600</v>
      </c>
      <c r="K8" t="str">
        <f>_xlfn.XLOOKUP($L8,Expenses_2023[Subcategory],Expenses_2023[Category],"",0)</f>
        <v>Insurance</v>
      </c>
      <c r="L8" t="str">
        <v>Medical</v>
      </c>
      <c r="M8">
        <f>IF($L8&lt;&gt;"",SUMIFS(Expenses_2023[Total],Expenses_2023[Subcategory],$L8),"")</f>
        <v>2000</v>
      </c>
      <c r="O8" t="str">
        <f ca="1"/>
        <v>Electronics</v>
      </c>
      <c r="P8" t="str">
        <f ca="1"/>
        <v>Phone</v>
      </c>
      <c r="Q8">
        <f ca="1"/>
        <v>4000</v>
      </c>
      <c r="Y8" t="str">
        <f ca="1"/>
        <v>Housing</v>
      </c>
      <c r="AA8" s="120" t="str">
        <f ca="1"/>
        <v>JUN</v>
      </c>
      <c r="AB8">
        <f ca="1"/>
        <v>210</v>
      </c>
      <c r="AH8" t="str">
        <f ca="1"/>
        <v>Entertainment</v>
      </c>
      <c r="AI8" t="str">
        <f ca="1"/>
        <v>Adventure</v>
      </c>
      <c r="AJ8">
        <f ca="1"/>
        <v>129</v>
      </c>
    </row>
    <row r="9" spans="1:38" x14ac:dyDescent="0.3">
      <c r="E9" s="119" t="s">
        <v>359</v>
      </c>
      <c r="F9">
        <v>34</v>
      </c>
      <c r="H9" s="119" t="s">
        <v>231</v>
      </c>
      <c r="I9">
        <v>5100</v>
      </c>
      <c r="K9" t="str">
        <f>_xlfn.XLOOKUP($L9,Expenses_2023[Subcategory],Expenses_2023[Category],"",0)</f>
        <v>Housing</v>
      </c>
      <c r="L9" t="str">
        <v>Mortgage</v>
      </c>
      <c r="M9">
        <f>IF($L9&lt;&gt;"",SUMIFS(Expenses_2023[Total],Expenses_2023[Subcategory],$L9),"")</f>
        <v>19200</v>
      </c>
      <c r="O9" t="str">
        <f ca="1"/>
        <v>Electronics</v>
      </c>
      <c r="P9" t="str">
        <f ca="1"/>
        <v>Tablet</v>
      </c>
      <c r="Q9">
        <f ca="1"/>
        <v>2500</v>
      </c>
      <c r="Y9" t="str">
        <f ca="1"/>
        <v>Insurance</v>
      </c>
      <c r="AA9" s="120" t="str">
        <f ca="1"/>
        <v>JUL</v>
      </c>
      <c r="AB9">
        <f ca="1"/>
        <v>180</v>
      </c>
      <c r="AH9" t="str">
        <f ca="1"/>
        <v>Entertainment</v>
      </c>
      <c r="AI9" t="str">
        <f ca="1"/>
        <v>Event</v>
      </c>
      <c r="AJ9">
        <f ca="1"/>
        <v>240</v>
      </c>
    </row>
    <row r="10" spans="1:38" x14ac:dyDescent="0.3">
      <c r="E10" s="119" t="s">
        <v>378</v>
      </c>
      <c r="F10">
        <v>210</v>
      </c>
      <c r="H10" s="119" t="s">
        <v>254</v>
      </c>
      <c r="I10">
        <v>1700</v>
      </c>
      <c r="K10" t="str">
        <f>_xlfn.XLOOKUP($L10,Expenses_2023[Subcategory],Expenses_2023[Category],"",0)</f>
        <v>Education</v>
      </c>
      <c r="L10" t="str">
        <v>Childcare</v>
      </c>
      <c r="M10">
        <f>IF($L10&lt;&gt;"",SUMIFS(Expenses_2023[Total],Expenses_2023[Subcategory],$L10),"")</f>
        <v>7200</v>
      </c>
      <c r="O10" t="str">
        <f ca="1"/>
        <v>Entertainment</v>
      </c>
      <c r="P10" t="str">
        <f ca="1"/>
        <v>Movies</v>
      </c>
      <c r="Q10">
        <f ca="1"/>
        <v>323</v>
      </c>
      <c r="Y10" t="str">
        <f ca="1"/>
        <v>Investment</v>
      </c>
      <c r="AA10" s="120" t="str">
        <f ca="1"/>
        <v>AUG</v>
      </c>
      <c r="AB10">
        <f ca="1"/>
        <v>240</v>
      </c>
    </row>
    <row r="11" spans="1:38" x14ac:dyDescent="0.3">
      <c r="E11" s="119" t="s">
        <v>397</v>
      </c>
      <c r="F11">
        <v>180</v>
      </c>
      <c r="H11" s="119" t="s">
        <v>227</v>
      </c>
      <c r="I11">
        <v>1335</v>
      </c>
      <c r="K11" t="str">
        <f>_xlfn.XLOOKUP($L11,Expenses_2023[Subcategory],Expenses_2023[Category],"",0)</f>
        <v>Entertainment</v>
      </c>
      <c r="L11" t="str">
        <v>Movies</v>
      </c>
      <c r="M11">
        <f>IF($L11&lt;&gt;"",SUMIFS(Expenses_2023[Total],Expenses_2023[Subcategory],$L11),"")</f>
        <v>323</v>
      </c>
      <c r="O11" t="str">
        <f ca="1"/>
        <v>Entertainment</v>
      </c>
      <c r="P11" t="str">
        <f ca="1"/>
        <v>Concert</v>
      </c>
      <c r="Q11">
        <f ca="1"/>
        <v>400</v>
      </c>
      <c r="Y11" t="str">
        <f ca="1"/>
        <v>Transportation</v>
      </c>
      <c r="AA11" s="120" t="str">
        <f ca="1"/>
        <v>SEP</v>
      </c>
      <c r="AB11">
        <f ca="1"/>
        <v>75</v>
      </c>
    </row>
    <row r="12" spans="1:38" x14ac:dyDescent="0.3">
      <c r="E12" s="119" t="s">
        <v>402</v>
      </c>
      <c r="F12">
        <v>240</v>
      </c>
      <c r="H12" s="119" t="s">
        <v>260</v>
      </c>
      <c r="I12">
        <v>214.5</v>
      </c>
      <c r="K12" t="str">
        <f>_xlfn.XLOOKUP($L12,Expenses_2023[Subcategory],Expenses_2023[Category],"",0)</f>
        <v>Investment</v>
      </c>
      <c r="L12" t="str">
        <v>Retirement</v>
      </c>
      <c r="M12">
        <f>IF($L12&lt;&gt;"",SUMIFS(Expenses_2023[Total],Expenses_2023[Subcategory],$L12),"")</f>
        <v>19200</v>
      </c>
      <c r="O12" t="str">
        <f ca="1"/>
        <v>Entertainment</v>
      </c>
      <c r="P12" t="str">
        <f ca="1"/>
        <v>Theme Park</v>
      </c>
      <c r="Q12">
        <f ca="1"/>
        <v>450</v>
      </c>
      <c r="Y12" t="str">
        <f ca="1"/>
        <v>Utilities</v>
      </c>
      <c r="AA12" s="120" t="str">
        <f ca="1"/>
        <v>OCT</v>
      </c>
      <c r="AB12">
        <f ca="1"/>
        <v>79</v>
      </c>
    </row>
    <row r="13" spans="1:38" x14ac:dyDescent="0.3">
      <c r="E13" s="119" t="s">
        <v>406</v>
      </c>
      <c r="F13">
        <v>75</v>
      </c>
      <c r="H13" s="119" t="s">
        <v>429</v>
      </c>
      <c r="I13">
        <v>17922.900000000001</v>
      </c>
      <c r="K13" t="str">
        <f>_xlfn.XLOOKUP($L13,Expenses_2023[Subcategory],Expenses_2023[Category],"",0)</f>
        <v>Investment</v>
      </c>
      <c r="L13" t="str">
        <v>Social Security</v>
      </c>
      <c r="M13">
        <f>IF($L13&lt;&gt;"",SUMIFS(Expenses_2023[Total],Expenses_2023[Subcategory],$L13),"")</f>
        <v>1200</v>
      </c>
      <c r="O13" t="str">
        <f ca="1"/>
        <v>Entertainment</v>
      </c>
      <c r="P13" t="str">
        <f ca="1"/>
        <v>Music</v>
      </c>
      <c r="Q13">
        <f ca="1"/>
        <v>255</v>
      </c>
      <c r="V13" s="121"/>
      <c r="AA13" s="120" t="str">
        <f ca="1"/>
        <v>NOV</v>
      </c>
      <c r="AB13">
        <f ca="1"/>
        <v>255</v>
      </c>
    </row>
    <row r="14" spans="1:38" x14ac:dyDescent="0.3">
      <c r="E14" s="119" t="s">
        <v>411</v>
      </c>
      <c r="F14">
        <v>79</v>
      </c>
      <c r="K14" t="str">
        <f>_xlfn.XLOOKUP($L14,Expenses_2023[Subcategory],Expenses_2023[Category],"",0)</f>
        <v>Utilities</v>
      </c>
      <c r="L14" t="str">
        <v>Water</v>
      </c>
      <c r="M14">
        <f>IF($L14&lt;&gt;"",SUMIFS(Expenses_2023[Total],Expenses_2023[Subcategory],$L14),"")</f>
        <v>354</v>
      </c>
      <c r="O14" t="str">
        <f ca="1"/>
        <v>Entertainment</v>
      </c>
      <c r="P14" t="str">
        <f ca="1"/>
        <v>Comedy</v>
      </c>
      <c r="Q14">
        <f ca="1"/>
        <v>360</v>
      </c>
      <c r="AA14" s="120" t="str">
        <f ca="1"/>
        <v>DEC</v>
      </c>
      <c r="AB14">
        <f ca="1"/>
        <v>1051</v>
      </c>
    </row>
    <row r="15" spans="1:38" x14ac:dyDescent="0.3">
      <c r="E15" s="119" t="s">
        <v>415</v>
      </c>
      <c r="F15">
        <v>255</v>
      </c>
      <c r="K15" t="str">
        <f>_xlfn.XLOOKUP($L15,Expenses_2023[Subcategory],Expenses_2023[Category],"",0)</f>
        <v>Insurance</v>
      </c>
      <c r="L15" t="str">
        <v>Life</v>
      </c>
      <c r="M15">
        <f>IF($L15&lt;&gt;"",SUMIFS(Expenses_2023[Total],Expenses_2023[Subcategory],$L15),"")</f>
        <v>7000</v>
      </c>
      <c r="O15" t="str">
        <f ca="1"/>
        <v>Entertainment</v>
      </c>
      <c r="P15" t="str">
        <f ca="1"/>
        <v>Adventure</v>
      </c>
      <c r="Q15">
        <f ca="1"/>
        <v>129</v>
      </c>
    </row>
    <row r="16" spans="1:38" x14ac:dyDescent="0.3">
      <c r="E16" s="119" t="s">
        <v>418</v>
      </c>
      <c r="F16">
        <v>1051</v>
      </c>
      <c r="K16" t="str">
        <f>_xlfn.XLOOKUP($L16,Expenses_2023[Subcategory],Expenses_2023[Category],"",0)</f>
        <v>Education</v>
      </c>
      <c r="L16" t="str">
        <v>Investment</v>
      </c>
      <c r="M16">
        <f>IF($L16&lt;&gt;"",SUMIFS(Expenses_2023[Total],Expenses_2023[Subcategory],$L16),"")</f>
        <v>5000</v>
      </c>
      <c r="O16" t="str">
        <f ca="1"/>
        <v>Entertainment</v>
      </c>
      <c r="P16" t="str">
        <f ca="1"/>
        <v>Event</v>
      </c>
      <c r="Q16">
        <f ca="1"/>
        <v>240</v>
      </c>
    </row>
    <row r="17" spans="5:23" x14ac:dyDescent="0.3">
      <c r="E17" s="119" t="s">
        <v>429</v>
      </c>
      <c r="F17">
        <v>3217</v>
      </c>
      <c r="K17" t="str">
        <f>_xlfn.XLOOKUP($L17,Expenses_2023[Subcategory],Expenses_2023[Category],"",0)</f>
        <v>Insurance</v>
      </c>
      <c r="L17" t="str">
        <v>Education</v>
      </c>
      <c r="M17">
        <f>IF($L17&lt;&gt;"",SUMIFS(Expenses_2023[Total],Expenses_2023[Subcategory],$L17),"")</f>
        <v>1200</v>
      </c>
      <c r="O17" t="str">
        <f ca="1"/>
        <v>Food</v>
      </c>
      <c r="P17" t="str">
        <f ca="1"/>
        <v>Breakfast</v>
      </c>
      <c r="Q17">
        <f ca="1"/>
        <v>636.79999999999995</v>
      </c>
      <c r="W17" s="121"/>
    </row>
    <row r="18" spans="5:23" x14ac:dyDescent="0.3">
      <c r="K18" t="str">
        <f>_xlfn.XLOOKUP($L18,Expenses_2023[Subcategory],Expenses_2023[Category],"",0)</f>
        <v>Transportation</v>
      </c>
      <c r="L18" t="str">
        <v>Loan</v>
      </c>
      <c r="M18">
        <f>IF($L18&lt;&gt;"",SUMIFS(Expenses_2023[Total],Expenses_2023[Subcategory],$L18),"")</f>
        <v>14400</v>
      </c>
      <c r="O18" t="str">
        <f ca="1"/>
        <v>Food</v>
      </c>
      <c r="P18" t="str">
        <f ca="1"/>
        <v>Grocery</v>
      </c>
      <c r="Q18">
        <f ca="1"/>
        <v>18508</v>
      </c>
    </row>
    <row r="19" spans="5:23" x14ac:dyDescent="0.3">
      <c r="K19" t="str">
        <f>_xlfn.XLOOKUP($L19,Expenses_2023[Subcategory],Expenses_2023[Category],"",0)</f>
        <v>Entertainment</v>
      </c>
      <c r="L19" t="str">
        <v>Concert</v>
      </c>
      <c r="M19">
        <f>IF($L19&lt;&gt;"",SUMIFS(Expenses_2023[Total],Expenses_2023[Subcategory],$L19),"")</f>
        <v>400</v>
      </c>
      <c r="O19" t="str">
        <f ca="1"/>
        <v>Food</v>
      </c>
      <c r="P19" t="str">
        <f ca="1"/>
        <v>Dinner</v>
      </c>
      <c r="Q19">
        <f ca="1"/>
        <v>2006</v>
      </c>
    </row>
    <row r="20" spans="5:23" x14ac:dyDescent="0.3">
      <c r="K20" t="str">
        <f>_xlfn.XLOOKUP($L20,Expenses_2023[Subcategory],Expenses_2023[Category],"",0)</f>
        <v>Transportation</v>
      </c>
      <c r="L20" t="str">
        <v>Public Transportation</v>
      </c>
      <c r="M20">
        <f>IF($L20&lt;&gt;"",SUMIFS(Expenses_2023[Total],Expenses_2023[Subcategory],$L20),"")</f>
        <v>475</v>
      </c>
      <c r="O20" t="str">
        <f ca="1"/>
        <v>Food</v>
      </c>
      <c r="P20" t="str">
        <f ca="1"/>
        <v>Lunch</v>
      </c>
      <c r="Q20">
        <f ca="1"/>
        <v>921.19999999999993</v>
      </c>
    </row>
    <row r="21" spans="5:23" x14ac:dyDescent="0.3">
      <c r="K21" t="str">
        <f>_xlfn.XLOOKUP($L21,Expenses_2023[Subcategory],Expenses_2023[Category],"",0)</f>
        <v>Utilities</v>
      </c>
      <c r="L21" t="str">
        <v xml:space="preserve">Electric </v>
      </c>
      <c r="M21">
        <f>IF($L21&lt;&gt;"",SUMIFS(Expenses_2023[Total],Expenses_2023[Subcategory],$L21),"")</f>
        <v>992.5</v>
      </c>
      <c r="O21" t="str">
        <f ca="1"/>
        <v>Health</v>
      </c>
      <c r="P21" t="str">
        <f ca="1"/>
        <v>Examination</v>
      </c>
      <c r="Q21">
        <f ca="1"/>
        <v>400</v>
      </c>
    </row>
    <row r="22" spans="5:23" x14ac:dyDescent="0.3">
      <c r="K22" t="str">
        <f>_xlfn.XLOOKUP($L22,Expenses_2023[Subcategory],Expenses_2023[Category],"",0)</f>
        <v>Utilities</v>
      </c>
      <c r="L22" t="str">
        <v>Internet</v>
      </c>
      <c r="M22">
        <f>IF($L22&lt;&gt;"",SUMIFS(Expenses_2023[Total],Expenses_2023[Subcategory],$L22),"")</f>
        <v>1200</v>
      </c>
      <c r="O22" t="str">
        <f ca="1"/>
        <v>Health</v>
      </c>
      <c r="P22" t="str">
        <f ca="1"/>
        <v>Fitness</v>
      </c>
      <c r="Q22">
        <f ca="1"/>
        <v>2500</v>
      </c>
    </row>
    <row r="23" spans="5:23" x14ac:dyDescent="0.3">
      <c r="K23" t="str">
        <f>_xlfn.XLOOKUP($L23,Expenses_2023[Subcategory],Expenses_2023[Category],"",0)</f>
        <v>Electronics</v>
      </c>
      <c r="L23" t="str">
        <v>Laptop</v>
      </c>
      <c r="M23">
        <f>IF($L23&lt;&gt;"",SUMIFS(Expenses_2023[Total],Expenses_2023[Subcategory],$L23),"")</f>
        <v>5000</v>
      </c>
      <c r="O23" t="str">
        <f ca="1"/>
        <v>Housing</v>
      </c>
      <c r="P23" t="str">
        <f ca="1"/>
        <v>Mortgage</v>
      </c>
      <c r="Q23">
        <f ca="1"/>
        <v>19200</v>
      </c>
    </row>
    <row r="24" spans="5:23" x14ac:dyDescent="0.3">
      <c r="K24" t="str">
        <f>_xlfn.XLOOKUP($L24,Expenses_2023[Subcategory],Expenses_2023[Category],"",0)</f>
        <v>Electronics</v>
      </c>
      <c r="L24" t="str">
        <v>Gaming</v>
      </c>
      <c r="M24">
        <f>IF($L24&lt;&gt;"",SUMIFS(Expenses_2023[Total],Expenses_2023[Subcategory],$L24),"")</f>
        <v>3160</v>
      </c>
      <c r="O24" t="str">
        <f ca="1"/>
        <v>Insurance</v>
      </c>
      <c r="P24" t="str">
        <f ca="1"/>
        <v>Medical</v>
      </c>
      <c r="Q24">
        <f ca="1"/>
        <v>2000</v>
      </c>
    </row>
    <row r="25" spans="5:23" x14ac:dyDescent="0.3">
      <c r="K25" t="str">
        <f>_xlfn.XLOOKUP($L25,Expenses_2023[Subcategory],Expenses_2023[Category],"",0)</f>
        <v>Entertainment</v>
      </c>
      <c r="L25" t="str">
        <v>Theme Park</v>
      </c>
      <c r="M25">
        <f>IF($L25&lt;&gt;"",SUMIFS(Expenses_2023[Total],Expenses_2023[Subcategory],$L25),"")</f>
        <v>450</v>
      </c>
      <c r="O25" t="str">
        <f ca="1"/>
        <v>Insurance</v>
      </c>
      <c r="P25" t="str">
        <f ca="1"/>
        <v>Life</v>
      </c>
      <c r="Q25">
        <f ca="1"/>
        <v>7000</v>
      </c>
    </row>
    <row r="26" spans="5:23" x14ac:dyDescent="0.3">
      <c r="K26" t="str">
        <f>_xlfn.XLOOKUP($L26,Expenses_2023[Subcategory],Expenses_2023[Category],"",0)</f>
        <v>Entertainment</v>
      </c>
      <c r="L26" t="str">
        <v>Music</v>
      </c>
      <c r="M26">
        <f>IF($L26&lt;&gt;"",SUMIFS(Expenses_2023[Total],Expenses_2023[Subcategory],$L26),"")</f>
        <v>255</v>
      </c>
      <c r="O26" t="str">
        <f ca="1"/>
        <v>Insurance</v>
      </c>
      <c r="P26" t="str">
        <f ca="1"/>
        <v>Education</v>
      </c>
      <c r="Q26">
        <f ca="1"/>
        <v>1200</v>
      </c>
    </row>
    <row r="27" spans="5:23" x14ac:dyDescent="0.3">
      <c r="K27" t="str">
        <f>_xlfn.XLOOKUP($L27,Expenses_2023[Subcategory],Expenses_2023[Category],"",0)</f>
        <v>Health</v>
      </c>
      <c r="L27" t="str">
        <v>Examination</v>
      </c>
      <c r="M27">
        <f>IF($L27&lt;&gt;"",SUMIFS(Expenses_2023[Total],Expenses_2023[Subcategory],$L27),"")</f>
        <v>400</v>
      </c>
      <c r="O27" t="str">
        <f ca="1"/>
        <v>Investment</v>
      </c>
      <c r="P27" t="str">
        <f ca="1"/>
        <v>Retirement</v>
      </c>
      <c r="Q27">
        <f ca="1"/>
        <v>19200</v>
      </c>
    </row>
    <row r="28" spans="5:23" x14ac:dyDescent="0.3">
      <c r="K28" t="str">
        <f>_xlfn.XLOOKUP($L28,Expenses_2023[Subcategory],Expenses_2023[Category],"",0)</f>
        <v>Health</v>
      </c>
      <c r="L28" t="str">
        <v>Fitness</v>
      </c>
      <c r="M28">
        <f>IF($L28&lt;&gt;"",SUMIFS(Expenses_2023[Total],Expenses_2023[Subcategory],$L28),"")</f>
        <v>2500</v>
      </c>
      <c r="O28" t="str">
        <f ca="1"/>
        <v>Investment</v>
      </c>
      <c r="P28" t="str">
        <f ca="1"/>
        <v>Social Security</v>
      </c>
      <c r="Q28">
        <f ca="1"/>
        <v>1200</v>
      </c>
    </row>
    <row r="29" spans="5:23" x14ac:dyDescent="0.3">
      <c r="K29" t="str">
        <f>_xlfn.XLOOKUP($L29,Expenses_2023[Subcategory],Expenses_2023[Category],"",0)</f>
        <v>Electronics</v>
      </c>
      <c r="L29" t="str">
        <v>Phone</v>
      </c>
      <c r="M29">
        <f>IF($L29&lt;&gt;"",SUMIFS(Expenses_2023[Total],Expenses_2023[Subcategory],$L29),"")</f>
        <v>4000</v>
      </c>
      <c r="O29" t="str">
        <f ca="1"/>
        <v>Transportation</v>
      </c>
      <c r="P29" t="str">
        <f ca="1"/>
        <v>Personal</v>
      </c>
      <c r="Q29">
        <f ca="1"/>
        <v>2134</v>
      </c>
    </row>
    <row r="30" spans="5:23" x14ac:dyDescent="0.3">
      <c r="K30" t="str">
        <f>_xlfn.XLOOKUP($L30,Expenses_2023[Subcategory],Expenses_2023[Category],"",0)</f>
        <v>Entertainment</v>
      </c>
      <c r="L30" t="str">
        <v>Comedy</v>
      </c>
      <c r="M30">
        <f>IF($L30&lt;&gt;"",SUMIFS(Expenses_2023[Total],Expenses_2023[Subcategory],$L30),"")</f>
        <v>360</v>
      </c>
      <c r="O30" t="str">
        <f ca="1"/>
        <v>Transportation</v>
      </c>
      <c r="P30" t="str">
        <f ca="1"/>
        <v>Loan</v>
      </c>
      <c r="Q30">
        <f ca="1"/>
        <v>14400</v>
      </c>
    </row>
    <row r="31" spans="5:23" x14ac:dyDescent="0.3">
      <c r="K31" t="str">
        <f>_xlfn.XLOOKUP($L31,Expenses_2023[Subcategory],Expenses_2023[Category],"",0)</f>
        <v>Entertainment</v>
      </c>
      <c r="L31" t="str">
        <v>Adventure</v>
      </c>
      <c r="M31">
        <f>IF($L31&lt;&gt;"",SUMIFS(Expenses_2023[Total],Expenses_2023[Subcategory],$L31),"")</f>
        <v>129</v>
      </c>
      <c r="O31" t="str">
        <f ca="1"/>
        <v>Transportation</v>
      </c>
      <c r="P31" t="str">
        <f ca="1"/>
        <v>Public Transportation</v>
      </c>
      <c r="Q31">
        <f ca="1"/>
        <v>475</v>
      </c>
    </row>
    <row r="32" spans="5:23" x14ac:dyDescent="0.3">
      <c r="K32" t="str">
        <f>_xlfn.XLOOKUP($L32,Expenses_2023[Subcategory],Expenses_2023[Category],"",0)</f>
        <v>Entertainment</v>
      </c>
      <c r="L32" t="str">
        <v>Event</v>
      </c>
      <c r="M32">
        <f>IF($L32&lt;&gt;"",SUMIFS(Expenses_2023[Total],Expenses_2023[Subcategory],$L32),"")</f>
        <v>240</v>
      </c>
      <c r="O32" t="str">
        <f ca="1"/>
        <v>Utilities</v>
      </c>
      <c r="P32" t="str">
        <f ca="1"/>
        <v>Water</v>
      </c>
      <c r="Q32">
        <f ca="1"/>
        <v>354</v>
      </c>
    </row>
    <row r="33" spans="11:17" x14ac:dyDescent="0.3">
      <c r="K33" t="str">
        <f>_xlfn.XLOOKUP($L33,Expenses_2023[Subcategory],Expenses_2023[Category],"",0)</f>
        <v>Electronics</v>
      </c>
      <c r="L33" t="str">
        <v>Tablet</v>
      </c>
      <c r="M33">
        <f>IF($L33&lt;&gt;"",SUMIFS(Expenses_2023[Total],Expenses_2023[Subcategory],$L33),"")</f>
        <v>2500</v>
      </c>
      <c r="O33" t="str">
        <f ca="1"/>
        <v>Utilities</v>
      </c>
      <c r="P33" t="str">
        <f ca="1"/>
        <v xml:space="preserve">Electric </v>
      </c>
      <c r="Q33">
        <f ca="1"/>
        <v>992.5</v>
      </c>
    </row>
    <row r="34" spans="11:17" x14ac:dyDescent="0.3">
      <c r="K34" t="str">
        <f>_xlfn.XLOOKUP($L34,Expenses_2023[Subcategory],Expenses_2023[Category],"",0)</f>
        <v/>
      </c>
      <c r="L34">
        <v>0</v>
      </c>
      <c r="M34">
        <f>IF($L34&lt;&gt;"",SUMIFS(Expenses_2023[Total],Expenses_2023[Subcategory],$L34),"")</f>
        <v>0</v>
      </c>
      <c r="O34" t="str">
        <f ca="1"/>
        <v>Utilities</v>
      </c>
      <c r="P34" t="str">
        <f ca="1"/>
        <v>Internet</v>
      </c>
      <c r="Q34">
        <f ca="1"/>
        <v>1200</v>
      </c>
    </row>
    <row r="35" spans="11:17" x14ac:dyDescent="0.3">
      <c r="K35">
        <f>_xlfn.XLOOKUP($L35,Expenses_2023[Subcategory],Expenses_2023[Category],"",0)</f>
        <v>0</v>
      </c>
      <c r="M35" t="str">
        <f>IF($L35&lt;&gt;"",SUMIFS(Expenses_2023[Total],Expenses_2023[Subcategory],$L35),"")</f>
        <v/>
      </c>
    </row>
    <row r="36" spans="11:17" x14ac:dyDescent="0.3">
      <c r="K36">
        <f>_xlfn.XLOOKUP($L36,Expenses_2023[Subcategory],Expenses_2023[Category],"",0)</f>
        <v>0</v>
      </c>
      <c r="M36" t="str">
        <f>IF($L36&lt;&gt;"",SUMIFS(Expenses_2023[Total],Expenses_2023[Subcategory],$L36),"")</f>
        <v/>
      </c>
    </row>
    <row r="37" spans="11:17" x14ac:dyDescent="0.3">
      <c r="K37">
        <f>_xlfn.XLOOKUP($L37,Expenses_2023[Subcategory],Expenses_2023[Category],"",0)</f>
        <v>0</v>
      </c>
      <c r="M37" t="str">
        <f>IF($L37&lt;&gt;"",SUMIFS(Expenses_2023[Total],Expenses_2023[Subcategory],$L37),"")</f>
        <v/>
      </c>
    </row>
    <row r="38" spans="11:17" x14ac:dyDescent="0.3">
      <c r="K38">
        <f>_xlfn.XLOOKUP($L38,Expenses_2023[Subcategory],Expenses_2023[Category],"",0)</f>
        <v>0</v>
      </c>
      <c r="M38" t="str">
        <f>IF($L38&lt;&gt;"",SUMIFS(Expenses_2023[Total],Expenses_2023[Subcategory],$L38),"")</f>
        <v/>
      </c>
    </row>
    <row r="39" spans="11:17" x14ac:dyDescent="0.3">
      <c r="K39">
        <f>_xlfn.XLOOKUP($L39,Expenses_2023[Subcategory],Expenses_2023[Category],"",0)</f>
        <v>0</v>
      </c>
      <c r="M39" t="str">
        <f>IF($L39&lt;&gt;"",SUMIFS(Expenses_2023[Total],Expenses_2023[Subcategory],$L39),"")</f>
        <v/>
      </c>
    </row>
    <row r="40" spans="11:17" x14ac:dyDescent="0.3">
      <c r="K40">
        <f>_xlfn.XLOOKUP($L40,Expenses_2023[Subcategory],Expenses_2023[Category],"",0)</f>
        <v>0</v>
      </c>
      <c r="M40" t="str">
        <f>IF($L40&lt;&gt;"",SUMIFS(Expenses_2023[Total],Expenses_2023[Subcategory],$L40),"")</f>
        <v/>
      </c>
    </row>
    <row r="41" spans="11:17" x14ac:dyDescent="0.3">
      <c r="K41">
        <f>_xlfn.XLOOKUP($L41,Expenses_2023[Subcategory],Expenses_2023[Category],"",0)</f>
        <v>0</v>
      </c>
      <c r="M41" t="str">
        <f>IF($L41&lt;&gt;"",SUMIFS(Expenses_2023[Total],Expenses_2023[Subcategory],$L41),"")</f>
        <v/>
      </c>
    </row>
    <row r="42" spans="11:17" x14ac:dyDescent="0.3">
      <c r="K42">
        <f>_xlfn.XLOOKUP($L42,Expenses_2023[Subcategory],Expenses_2023[Category],"",0)</f>
        <v>0</v>
      </c>
      <c r="M42" t="str">
        <f>IF($L42&lt;&gt;"",SUMIFS(Expenses_2023[Total],Expenses_2023[Subcategory],$L42),"")</f>
        <v/>
      </c>
    </row>
    <row r="43" spans="11:17" x14ac:dyDescent="0.3">
      <c r="K43">
        <f>_xlfn.XLOOKUP($L43,Expenses_2023[Subcategory],Expenses_2023[Category],"",0)</f>
        <v>0</v>
      </c>
      <c r="M43" t="str">
        <f>IF($L43&lt;&gt;"",SUMIFS(Expenses_2023[Total],Expenses_2023[Subcategory],$L43),"")</f>
        <v/>
      </c>
    </row>
    <row r="44" spans="11:17" x14ac:dyDescent="0.3">
      <c r="K44">
        <f>_xlfn.XLOOKUP($L44,Expenses_2023[Subcategory],Expenses_2023[Category],"",0)</f>
        <v>0</v>
      </c>
      <c r="M44" t="str">
        <f>IF($L44&lt;&gt;"",SUMIFS(Expenses_2023[Total],Expenses_2023[Subcategory],$L44),"")</f>
        <v/>
      </c>
    </row>
    <row r="45" spans="11:17" x14ac:dyDescent="0.3">
      <c r="K45">
        <f>_xlfn.XLOOKUP($L45,Expenses_2023[Subcategory],Expenses_2023[Category],"",0)</f>
        <v>0</v>
      </c>
      <c r="M45" t="str">
        <f>IF($L45&lt;&gt;"",SUMIFS(Expenses_2023[Total],Expenses_2023[Subcategory],$L45),"")</f>
        <v/>
      </c>
    </row>
    <row r="46" spans="11:17" x14ac:dyDescent="0.3">
      <c r="K46">
        <f>_xlfn.XLOOKUP($L46,Expenses_2023[Subcategory],Expenses_2023[Category],"",0)</f>
        <v>0</v>
      </c>
      <c r="M46" t="str">
        <f>IF($L46&lt;&gt;"",SUMIFS(Expenses_2023[Total],Expenses_2023[Subcategory],$L46),"")</f>
        <v/>
      </c>
    </row>
    <row r="47" spans="11:17" x14ac:dyDescent="0.3">
      <c r="K47">
        <f>_xlfn.XLOOKUP($L47,Expenses_2023[Subcategory],Expenses_2023[Category],"",0)</f>
        <v>0</v>
      </c>
      <c r="M47" t="str">
        <f>IF($L47&lt;&gt;"",SUMIFS(Expenses_2023[Total],Expenses_2023[Subcategory],$L47),"")</f>
        <v/>
      </c>
    </row>
    <row r="48" spans="11:17" x14ac:dyDescent="0.3">
      <c r="K48">
        <f>_xlfn.XLOOKUP($L48,Expenses_2023[Subcategory],Expenses_2023[Category],"",0)</f>
        <v>0</v>
      </c>
      <c r="M48" t="str">
        <f>IF($L48&lt;&gt;"",SUMIFS(Expenses_2023[Total],Expenses_2023[Subcategory],$L48),"")</f>
        <v/>
      </c>
    </row>
    <row r="49" spans="11:13" x14ac:dyDescent="0.3">
      <c r="K49">
        <f>_xlfn.XLOOKUP($L49,Expenses_2023[Subcategory],Expenses_2023[Category],"",0)</f>
        <v>0</v>
      </c>
      <c r="M49" t="str">
        <f>IF($L49&lt;&gt;"",SUMIFS(Expenses_2023[Total],Expenses_2023[Subcategory],$L49),"")</f>
        <v/>
      </c>
    </row>
  </sheetData>
  <sheetProtection algorithmName="SHA-512" hashValue="JsaOzeXQkaWbnFQQMyqiCXQizsePOrWNmp87CeRiIvGeZZDKf8j3fYnVD3Yd9hCZjN5Ur5+oR3uRcdVtHOsP0g==" saltValue="Hc9OrYZu6qWBJ8L+u2YAKA==" spinCount="100000" sheet="1" objects="1" scenarios="1" selectLockedCells="1" pivotTables="0" selectUnlockedCells="1"/>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D9F0B-5C2E-4E32-9F5B-24FBE8466A58}">
  <sheetPr codeName="Sheet2"/>
  <dimension ref="A1:T22"/>
  <sheetViews>
    <sheetView showRowColHeaders="0" workbookViewId="0">
      <selection activeCell="B28" sqref="B28"/>
    </sheetView>
  </sheetViews>
  <sheetFormatPr defaultRowHeight="14.4" x14ac:dyDescent="0.3"/>
  <cols>
    <col min="1" max="1" width="6.21875" bestFit="1" customWidth="1"/>
    <col min="2" max="2" width="25.88671875" customWidth="1"/>
    <col min="3" max="3" width="23.6640625" customWidth="1"/>
    <col min="4" max="4" width="20.21875" bestFit="1" customWidth="1"/>
    <col min="5" max="5" width="9.6640625" bestFit="1" customWidth="1"/>
    <col min="6" max="6" width="9.77734375" bestFit="1" customWidth="1"/>
    <col min="7" max="7" width="22.21875" bestFit="1" customWidth="1"/>
    <col min="8" max="8" width="7.44140625" bestFit="1" customWidth="1"/>
    <col min="9" max="9" width="11.21875" bestFit="1" customWidth="1"/>
    <col min="11" max="11" width="19.77734375" customWidth="1"/>
  </cols>
  <sheetData>
    <row r="1" spans="1:20" x14ac:dyDescent="0.3">
      <c r="A1" s="1" t="s">
        <v>0</v>
      </c>
      <c r="B1" s="1" t="s">
        <v>1</v>
      </c>
      <c r="C1" s="1" t="s">
        <v>14</v>
      </c>
      <c r="D1" s="1" t="s">
        <v>2</v>
      </c>
      <c r="E1" s="1" t="s">
        <v>3</v>
      </c>
      <c r="F1" s="1" t="s">
        <v>59</v>
      </c>
      <c r="G1" s="1" t="s">
        <v>58</v>
      </c>
      <c r="H1" s="1" t="s">
        <v>56</v>
      </c>
      <c r="I1" s="1" t="s">
        <v>57</v>
      </c>
      <c r="K1" t="s">
        <v>102</v>
      </c>
      <c r="N1" t="s">
        <v>103</v>
      </c>
      <c r="Q1" t="s">
        <v>104</v>
      </c>
      <c r="T1" t="s">
        <v>434</v>
      </c>
    </row>
    <row r="2" spans="1:20" x14ac:dyDescent="0.3">
      <c r="A2">
        <v>2</v>
      </c>
      <c r="B2" t="s">
        <v>5</v>
      </c>
      <c r="C2" t="s">
        <v>55</v>
      </c>
      <c r="E2">
        <v>8000</v>
      </c>
      <c r="F2">
        <f t="shared" ref="F2:F21" si="0">IF(ISNUMBER(E2),SUM(F1,1),F1)</f>
        <v>1</v>
      </c>
      <c r="G2" s="2" cm="1">
        <f t="array" ref="G2">SUM(_xlfn._xlws.FILTER(Expenses_2023[Total],Expenses_2023[Tax Relief Category]=Expenses_Categories[[#This Row],[Category]],0))</f>
        <v>0</v>
      </c>
      <c r="H2">
        <f t="shared" ref="H2:H21" si="1">MIN(G2,D2:E2)</f>
        <v>0</v>
      </c>
      <c r="I2">
        <f>IF(ISNUMBER(E2),MIN(SUMIF($F$2:F21,F2,$H$2:H21),E2),0)</f>
        <v>0</v>
      </c>
      <c r="K2" t="str" cm="1">
        <f t="array" ref="K2:L10">_xlfn._xlws.SORT(_xlfn.CHOOSECOLS(_xlfn._xlws.FILTER(Expenses_Categories[[Category]:[Tax Relief]],Expenses_Categories[Tax Relief]&lt;&gt;0),1,7),2,-1)</f>
        <v>Net deposit in SSPN</v>
      </c>
      <c r="L2">
        <v>5000</v>
      </c>
      <c r="N2" t="str" cm="1">
        <f t="array" aca="1" ref="N2:O6" ca="1">OFFSET(_xlfn.ANCHORARRAY(K2),0,0,ROUNDUP(ROWS(_xlfn.ANCHORARRAY(K2))/2,0))</f>
        <v>Net deposit in SSPN</v>
      </c>
      <c r="O2">
        <f ca="1"/>
        <v>5000</v>
      </c>
      <c r="Q2" t="str" cm="1">
        <f t="array" aca="1" ref="Q2:R5" ca="1">OFFSET(_xlfn.ANCHORARRAY(K2),ROWS(_xlfn.ANCHORARRAY(K2))/2,0,ROWS(_xlfn.ANCHORARRAY(K2))/2)</f>
        <v>PRS</v>
      </c>
      <c r="R2">
        <f ca="1"/>
        <v>3000</v>
      </c>
      <c r="T2" t="s">
        <v>216</v>
      </c>
    </row>
    <row r="3" spans="1:20" x14ac:dyDescent="0.3">
      <c r="A3">
        <v>3</v>
      </c>
      <c r="B3" t="s">
        <v>6</v>
      </c>
      <c r="C3" t="s">
        <v>16</v>
      </c>
      <c r="E3">
        <v>6000</v>
      </c>
      <c r="F3">
        <f t="shared" si="0"/>
        <v>2</v>
      </c>
      <c r="G3" s="2" cm="1">
        <f t="array" ref="G3">SUM(_xlfn._xlws.FILTER(Expenses_2023[Total],Expenses_2023[Tax Relief Category]=Expenses_Categories[[#This Row],[Category]],0))</f>
        <v>0</v>
      </c>
      <c r="H3">
        <f t="shared" si="1"/>
        <v>0</v>
      </c>
      <c r="I3">
        <f>IF(ISNUMBER(E3),MIN(SUMIF($F$2:F22,F3,$H$2:H22),E3),0)</f>
        <v>0</v>
      </c>
      <c r="K3" t="str">
        <v>EPF</v>
      </c>
      <c r="L3">
        <v>4000</v>
      </c>
      <c r="N3" t="str">
        <f ca="1"/>
        <v>EPF</v>
      </c>
      <c r="O3">
        <f ca="1"/>
        <v>4000</v>
      </c>
      <c r="Q3" t="str">
        <f ca="1"/>
        <v>Education and medical insurance</v>
      </c>
      <c r="R3">
        <f ca="1"/>
        <v>3000</v>
      </c>
      <c r="T3" t="str" cm="1">
        <f t="array" ref="T3:T22">Expenses_Categories[Category]</f>
        <v>Medical(parents)</v>
      </c>
    </row>
    <row r="4" spans="1:20" x14ac:dyDescent="0.3">
      <c r="A4">
        <v>5</v>
      </c>
      <c r="B4" t="s">
        <v>7</v>
      </c>
      <c r="C4" t="s">
        <v>17</v>
      </c>
      <c r="E4">
        <v>7000</v>
      </c>
      <c r="F4">
        <f t="shared" si="0"/>
        <v>3</v>
      </c>
      <c r="G4" s="2" cm="1">
        <f t="array" ref="G4">SUM(_xlfn._xlws.FILTER(Expenses_2023[Total],Expenses_2023[Tax Relief Category]=Expenses_Categories[[#This Row],[Category]],0))</f>
        <v>0</v>
      </c>
      <c r="H4">
        <f t="shared" si="1"/>
        <v>0</v>
      </c>
      <c r="I4">
        <f>IF(ISNUMBER(E4),MIN(SUMIF($F$2:F23,F4,$H$2:H23),E4),0)</f>
        <v>0</v>
      </c>
      <c r="K4" t="str">
        <v>Kindergarden (6yo and below)</v>
      </c>
      <c r="L4">
        <v>3000</v>
      </c>
      <c r="N4" t="str">
        <f ca="1"/>
        <v>Kindergarden (6yo and below)</v>
      </c>
      <c r="O4">
        <f ca="1"/>
        <v>3000</v>
      </c>
      <c r="Q4" t="str">
        <f ca="1"/>
        <v>Lifestyle(books/personal smart device/sports equipment/internet bill)</v>
      </c>
      <c r="R4">
        <f ca="1"/>
        <v>2500</v>
      </c>
      <c r="T4" t="str">
        <v>Supporting equipment</v>
      </c>
    </row>
    <row r="5" spans="1:20" x14ac:dyDescent="0.3">
      <c r="A5">
        <v>5</v>
      </c>
      <c r="B5" t="s">
        <v>9</v>
      </c>
      <c r="C5" t="s">
        <v>18</v>
      </c>
      <c r="D5">
        <v>2000</v>
      </c>
      <c r="F5">
        <f t="shared" si="0"/>
        <v>3</v>
      </c>
      <c r="G5" s="2" cm="1">
        <f t="array" ref="G5">SUM(_xlfn._xlws.FILTER(Expenses_2023[Total],Expenses_2023[Tax Relief Category]=Expenses_Categories[[#This Row],[Category]],0))</f>
        <v>0</v>
      </c>
      <c r="H5">
        <f t="shared" si="1"/>
        <v>0</v>
      </c>
      <c r="I5">
        <f>IF(ISNUMBER(E5),MIN(SUMIF($F$2:F24,F5,$H$2:H24),E5),0)</f>
        <v>0</v>
      </c>
      <c r="K5" t="str">
        <v>Life Insurance</v>
      </c>
      <c r="L5">
        <v>3000</v>
      </c>
      <c r="N5" t="str">
        <f ca="1"/>
        <v>Life Insurance</v>
      </c>
      <c r="O5">
        <f ca="1"/>
        <v>3000</v>
      </c>
      <c r="Q5" t="str">
        <f ca="1"/>
        <v>Contribution to SOCSO</v>
      </c>
      <c r="R5">
        <f ca="1"/>
        <v>350</v>
      </c>
      <c r="T5" t="str">
        <v>Education(self)</v>
      </c>
    </row>
    <row r="6" spans="1:20" x14ac:dyDescent="0.3">
      <c r="A6">
        <v>6</v>
      </c>
      <c r="B6" t="s">
        <v>10</v>
      </c>
      <c r="C6" t="s">
        <v>60</v>
      </c>
      <c r="E6">
        <v>10000</v>
      </c>
      <c r="F6">
        <f t="shared" si="0"/>
        <v>4</v>
      </c>
      <c r="G6" s="2" cm="1">
        <f t="array" ref="G6">SUM(_xlfn._xlws.FILTER(Expenses_2023[Total],Expenses_2023[Tax Relief Category]=Expenses_Categories[[#This Row],[Category]],0))</f>
        <v>0</v>
      </c>
      <c r="H6">
        <f t="shared" si="1"/>
        <v>0</v>
      </c>
      <c r="I6">
        <f>IF(ISNUMBER(E6),MIN(SUMIF($F$2:F25,F6,$H$2:H25),E6),0)</f>
        <v>300</v>
      </c>
      <c r="K6" t="str">
        <v>PRS</v>
      </c>
      <c r="L6">
        <v>3000</v>
      </c>
      <c r="N6" t="str">
        <f ca="1"/>
        <v>PRS</v>
      </c>
      <c r="O6">
        <f ca="1"/>
        <v>3000</v>
      </c>
      <c r="T6" t="str">
        <v>Education (upskilling)</v>
      </c>
    </row>
    <row r="7" spans="1:20" x14ac:dyDescent="0.3">
      <c r="A7">
        <v>6</v>
      </c>
      <c r="B7" t="s">
        <v>11</v>
      </c>
      <c r="C7" t="s">
        <v>70</v>
      </c>
      <c r="D7">
        <v>1000</v>
      </c>
      <c r="F7">
        <f t="shared" si="0"/>
        <v>4</v>
      </c>
      <c r="G7" s="2" cm="1">
        <f t="array" ref="G7">SUM(_xlfn._xlws.FILTER(Expenses_2023[Total],Expenses_2023[Tax Relief Category]=Expenses_Categories[[#This Row],[Category]],0))</f>
        <v>0</v>
      </c>
      <c r="H7">
        <f t="shared" si="1"/>
        <v>0</v>
      </c>
      <c r="I7">
        <f>IF(ISNUMBER(E7),MIN(SUMIF($F$2:F26,F7,$H$2:H26),E7),0)</f>
        <v>0</v>
      </c>
      <c r="K7" t="str">
        <v>Education and medical insurance</v>
      </c>
      <c r="L7">
        <v>3000</v>
      </c>
      <c r="T7" t="str">
        <v>Medical (self/spouse/child)</v>
      </c>
    </row>
    <row r="8" spans="1:20" x14ac:dyDescent="0.3">
      <c r="A8">
        <v>7</v>
      </c>
      <c r="B8" t="s">
        <v>12</v>
      </c>
      <c r="C8" t="s">
        <v>19</v>
      </c>
      <c r="D8">
        <v>1000</v>
      </c>
      <c r="F8">
        <f t="shared" si="0"/>
        <v>4</v>
      </c>
      <c r="G8" s="2" cm="1">
        <f t="array" ref="G8">SUM(_xlfn._xlws.FILTER(Expenses_2023[Total],Expenses_2023[Tax Relief Category]=Expenses_Categories[[#This Row],[Category]],0))</f>
        <v>300</v>
      </c>
      <c r="H8">
        <f t="shared" si="1"/>
        <v>300</v>
      </c>
      <c r="I8">
        <f>IF(ISNUMBER(E8),MIN(SUMIF($F$2:F27,F8,$H$2:H27),E8),0)</f>
        <v>0</v>
      </c>
      <c r="K8" t="str">
        <v>Lifestyle(books/personal smart device/sports equipment/internet bill)</v>
      </c>
      <c r="L8">
        <v>2500</v>
      </c>
      <c r="T8" t="str">
        <v>Vaccination(self/spouse/child)</v>
      </c>
    </row>
    <row r="9" spans="1:20" x14ac:dyDescent="0.3">
      <c r="A9">
        <v>8</v>
      </c>
      <c r="B9" t="s">
        <v>13</v>
      </c>
      <c r="C9" t="s">
        <v>20</v>
      </c>
      <c r="D9">
        <v>4000</v>
      </c>
      <c r="F9">
        <f t="shared" si="0"/>
        <v>4</v>
      </c>
      <c r="G9" s="2" cm="1">
        <f t="array" ref="G9">SUM(_xlfn._xlws.FILTER(Expenses_2023[Total],Expenses_2023[Tax Relief Category]=Expenses_Categories[[#This Row],[Category]],0))</f>
        <v>0</v>
      </c>
      <c r="H9">
        <f t="shared" si="1"/>
        <v>0</v>
      </c>
      <c r="I9">
        <f>IF(ISNUMBER(E9),MIN(SUMIF($F$2:F28,F9,$H$2:H28),E9),0)</f>
        <v>0</v>
      </c>
      <c r="K9" t="str">
        <v>Contribution to SOCSO</v>
      </c>
      <c r="L9">
        <v>350</v>
      </c>
      <c r="T9" t="str">
        <v>Medical Examination(self/spouse/child)</v>
      </c>
    </row>
    <row r="10" spans="1:20" x14ac:dyDescent="0.3">
      <c r="A10">
        <v>9</v>
      </c>
      <c r="B10" t="s">
        <v>21</v>
      </c>
      <c r="C10" t="s">
        <v>288</v>
      </c>
      <c r="E10">
        <v>2500</v>
      </c>
      <c r="F10">
        <f t="shared" si="0"/>
        <v>5</v>
      </c>
      <c r="G10" s="2" cm="1">
        <f t="array" ref="G10">SUM(_xlfn._xlws.FILTER(Expenses_2023[Total],Expenses_2023[Tax Relief Category]=Expenses_Categories[[#This Row],[Category]],0))</f>
        <v>15200</v>
      </c>
      <c r="H10">
        <f t="shared" si="1"/>
        <v>2500</v>
      </c>
      <c r="I10">
        <f>IF(ISNUMBER(E10),MIN(SUMIF($F$2:F29,F10,$H$2:H29),E10),0)</f>
        <v>2500</v>
      </c>
      <c r="K10" t="str">
        <v>Medical (self/spouse/child)</v>
      </c>
      <c r="L10">
        <v>300</v>
      </c>
      <c r="T10" t="str">
        <v>Intellectual disability(child)</v>
      </c>
    </row>
    <row r="11" spans="1:20" x14ac:dyDescent="0.3">
      <c r="A11">
        <v>10</v>
      </c>
      <c r="B11" t="s">
        <v>22</v>
      </c>
      <c r="C11" t="s">
        <v>23</v>
      </c>
      <c r="E11">
        <v>500</v>
      </c>
      <c r="F11">
        <f t="shared" si="0"/>
        <v>6</v>
      </c>
      <c r="G11" s="2" cm="1">
        <f t="array" ref="G11">SUM(_xlfn._xlws.FILTER(Expenses_2023[Total],Expenses_2023[Tax Relief Category]=Expenses_Categories[[#This Row],[Category]],0))</f>
        <v>0</v>
      </c>
      <c r="H11">
        <f t="shared" si="1"/>
        <v>0</v>
      </c>
      <c r="I11">
        <f>IF(ISNUMBER(E11),MIN(SUMIF($F$2:F30,F11,$H$2:H30),E11),0)</f>
        <v>0</v>
      </c>
      <c r="T11" t="str">
        <v>Lifestyle(books/personal smart device/sports equipment/internet bill)</v>
      </c>
    </row>
    <row r="12" spans="1:20" x14ac:dyDescent="0.3">
      <c r="A12">
        <v>11</v>
      </c>
      <c r="B12" t="s">
        <v>24</v>
      </c>
      <c r="C12" t="s">
        <v>27</v>
      </c>
      <c r="E12">
        <v>1000</v>
      </c>
      <c r="F12">
        <f t="shared" si="0"/>
        <v>7</v>
      </c>
      <c r="G12" s="2" cm="1">
        <f t="array" ref="G12">SUM(_xlfn._xlws.FILTER(Expenses_2023[Total],Expenses_2023[Tax Relief Category]=Expenses_Categories[[#This Row],[Category]],0))</f>
        <v>0</v>
      </c>
      <c r="H12">
        <f t="shared" si="1"/>
        <v>0</v>
      </c>
      <c r="I12">
        <f>IF(ISNUMBER(E12),MIN(SUMIF($F$2:F31,F12,$H$2:H31),E12),0)</f>
        <v>0</v>
      </c>
      <c r="T12" t="str">
        <v>Lifestyle(sports)</v>
      </c>
    </row>
    <row r="13" spans="1:20" x14ac:dyDescent="0.3">
      <c r="A13">
        <v>12</v>
      </c>
      <c r="B13" t="s">
        <v>25</v>
      </c>
      <c r="C13" t="s">
        <v>26</v>
      </c>
      <c r="E13">
        <v>3000</v>
      </c>
      <c r="F13">
        <f t="shared" si="0"/>
        <v>8</v>
      </c>
      <c r="G13" s="2" cm="1">
        <f t="array" ref="G13">SUM(_xlfn._xlws.FILTER(Expenses_2023[Total],Expenses_2023[Tax Relief Category]=Expenses_Categories[[#This Row],[Category]],0))</f>
        <v>7200</v>
      </c>
      <c r="H13">
        <f t="shared" si="1"/>
        <v>3000</v>
      </c>
      <c r="I13">
        <f>IF(ISNUMBER(E13),MIN(SUMIF($F$2:F32,F13,$H$2:H32),E13),0)</f>
        <v>3000</v>
      </c>
      <c r="T13" t="str">
        <v>Breastfeeding (2yo and below)</v>
      </c>
    </row>
    <row r="14" spans="1:20" x14ac:dyDescent="0.3">
      <c r="A14">
        <v>13</v>
      </c>
      <c r="B14" t="s">
        <v>28</v>
      </c>
      <c r="C14" t="s">
        <v>29</v>
      </c>
      <c r="E14">
        <v>8000</v>
      </c>
      <c r="F14">
        <f t="shared" si="0"/>
        <v>9</v>
      </c>
      <c r="G14" s="2" cm="1">
        <f t="array" ref="G14">SUM(_xlfn._xlws.FILTER(Expenses_2023[Total],Expenses_2023[Tax Relief Category]=Expenses_Categories[[#This Row],[Category]],0))</f>
        <v>5000</v>
      </c>
      <c r="H14">
        <f t="shared" si="1"/>
        <v>5000</v>
      </c>
      <c r="I14">
        <f>IF(ISNUMBER(E14),MIN(SUMIF($F$2:F33,F14,$H$2:H33),E14),0)</f>
        <v>5000</v>
      </c>
      <c r="T14" t="str">
        <v>Kindergarden (6yo and below)</v>
      </c>
    </row>
    <row r="15" spans="1:20" x14ac:dyDescent="0.3">
      <c r="A15">
        <v>14</v>
      </c>
      <c r="B15" t="s">
        <v>30</v>
      </c>
      <c r="C15" t="s">
        <v>31</v>
      </c>
      <c r="E15">
        <v>4000</v>
      </c>
      <c r="F15">
        <f t="shared" si="0"/>
        <v>10</v>
      </c>
      <c r="G15" s="2" cm="1">
        <f t="array" ref="G15">SUM(_xlfn._xlws.FILTER(Expenses_2023[Total],Expenses_2023[Tax Relief Category]=Expenses_Categories[[#This Row],[Category]],0))</f>
        <v>0</v>
      </c>
      <c r="H15">
        <f t="shared" si="1"/>
        <v>0</v>
      </c>
      <c r="I15">
        <f>IF(ISNUMBER(E15),MIN(SUMIF($F$2:F34,F15,$H$2:H34),E15),0)</f>
        <v>0</v>
      </c>
      <c r="T15" t="str">
        <v>Net deposit in SSPN</v>
      </c>
    </row>
    <row r="16" spans="1:20" x14ac:dyDescent="0.3">
      <c r="A16">
        <v>17</v>
      </c>
      <c r="B16" t="s">
        <v>45</v>
      </c>
      <c r="C16" t="s">
        <v>45</v>
      </c>
      <c r="E16">
        <v>4000</v>
      </c>
      <c r="F16">
        <f t="shared" si="0"/>
        <v>11</v>
      </c>
      <c r="G16" s="2" cm="1">
        <f t="array" ref="G16">SUM(_xlfn._xlws.FILTER(Expenses_2023[Total],Expenses_2023[Tax Relief Category]=Expenses_Categories[[#This Row],[Category]],0))</f>
        <v>13200</v>
      </c>
      <c r="H16">
        <f t="shared" si="1"/>
        <v>4000</v>
      </c>
      <c r="I16">
        <f>IF(ISNUMBER(E16),MIN(SUMIF($F$2:F35,F16,$H$2:H35),E16),0)</f>
        <v>4000</v>
      </c>
      <c r="T16" t="str">
        <v>Alimony</v>
      </c>
    </row>
    <row r="17" spans="1:20" x14ac:dyDescent="0.3">
      <c r="A17">
        <v>17</v>
      </c>
      <c r="B17" t="s">
        <v>46</v>
      </c>
      <c r="C17" t="s">
        <v>47</v>
      </c>
      <c r="E17">
        <v>3000</v>
      </c>
      <c r="F17">
        <f t="shared" si="0"/>
        <v>12</v>
      </c>
      <c r="G17" s="2" cm="1">
        <f t="array" ref="G17">SUM(_xlfn._xlws.FILTER(Expenses_2023[Total],Expenses_2023[Tax Relief Category]=Expenses_Categories[[#This Row],[Category]],0))</f>
        <v>7000</v>
      </c>
      <c r="H17">
        <f t="shared" si="1"/>
        <v>3000</v>
      </c>
      <c r="I17">
        <f>IF(ISNUMBER(E17),MIN(SUMIF($F$2:F36,F17,$H$2:H36),E17),0)</f>
        <v>3000</v>
      </c>
      <c r="T17" t="str">
        <v>EPF</v>
      </c>
    </row>
    <row r="18" spans="1:20" x14ac:dyDescent="0.3">
      <c r="A18">
        <v>18</v>
      </c>
      <c r="B18" t="s">
        <v>48</v>
      </c>
      <c r="C18" t="s">
        <v>49</v>
      </c>
      <c r="E18">
        <v>3000</v>
      </c>
      <c r="F18">
        <f t="shared" si="0"/>
        <v>13</v>
      </c>
      <c r="G18" s="2" cm="1">
        <f t="array" ref="G18">SUM(_xlfn._xlws.FILTER(Expenses_2023[Total],Expenses_2023[Tax Relief Category]=Expenses_Categories[[#This Row],[Category]],0))</f>
        <v>6000</v>
      </c>
      <c r="H18">
        <f t="shared" si="1"/>
        <v>3000</v>
      </c>
      <c r="I18">
        <f>IF(ISNUMBER(E18),MIN(SUMIF($F$2:F37,F18,$H$2:H37),E18),0)</f>
        <v>3000</v>
      </c>
      <c r="T18" t="str">
        <v>Life Insurance</v>
      </c>
    </row>
    <row r="19" spans="1:20" x14ac:dyDescent="0.3">
      <c r="A19">
        <v>19</v>
      </c>
      <c r="B19" t="s">
        <v>50</v>
      </c>
      <c r="C19" t="s">
        <v>50</v>
      </c>
      <c r="E19">
        <v>3000</v>
      </c>
      <c r="F19">
        <f t="shared" si="0"/>
        <v>14</v>
      </c>
      <c r="G19" s="2" cm="1">
        <f t="array" ref="G19">SUM(_xlfn._xlws.FILTER(Expenses_2023[Total],Expenses_2023[Tax Relief Category]=Expenses_Categories[[#This Row],[Category]],0))</f>
        <v>3200</v>
      </c>
      <c r="H19">
        <f t="shared" si="1"/>
        <v>3000</v>
      </c>
      <c r="I19">
        <f>IF(ISNUMBER(E19),MIN(SUMIF($F$2:F38,F19,$H$2:H38),E19),0)</f>
        <v>3000</v>
      </c>
      <c r="T19" t="str">
        <v>PRS</v>
      </c>
    </row>
    <row r="20" spans="1:20" x14ac:dyDescent="0.3">
      <c r="A20">
        <v>20</v>
      </c>
      <c r="B20" t="s">
        <v>51</v>
      </c>
      <c r="C20" t="s">
        <v>52</v>
      </c>
      <c r="E20">
        <v>350</v>
      </c>
      <c r="F20">
        <f t="shared" si="0"/>
        <v>15</v>
      </c>
      <c r="G20" s="2" cm="1">
        <f t="array" ref="G20">SUM(_xlfn._xlws.FILTER(Expenses_2023[Total],Expenses_2023[Tax Relief Category]=Expenses_Categories[[#This Row],[Category]],0))</f>
        <v>1200</v>
      </c>
      <c r="H20">
        <f t="shared" si="1"/>
        <v>350</v>
      </c>
      <c r="I20">
        <f>IF(ISNUMBER(E20),MIN(SUMIF($F$2:F39,F20,$H$2:H39),E20),0)</f>
        <v>350</v>
      </c>
      <c r="T20" t="str">
        <v>Education and medical insurance</v>
      </c>
    </row>
    <row r="21" spans="1:20" x14ac:dyDescent="0.3">
      <c r="A21">
        <v>21</v>
      </c>
      <c r="B21" t="s">
        <v>54</v>
      </c>
      <c r="C21" t="s">
        <v>53</v>
      </c>
      <c r="E21">
        <v>2500</v>
      </c>
      <c r="F21">
        <f t="shared" si="0"/>
        <v>16</v>
      </c>
      <c r="G21" s="2" cm="1">
        <f t="array" ref="G21">SUM(_xlfn._xlws.FILTER(Expenses_2023[Total],Expenses_2023[Tax Relief Category]=Expenses_Categories[[#This Row],[Category]],0))</f>
        <v>0</v>
      </c>
      <c r="H21">
        <f t="shared" si="1"/>
        <v>0</v>
      </c>
      <c r="I21">
        <f>IF(ISNUMBER(E21),MIN(SUMIF($F$2:F40,F21,$H$2:H40),E21),0)</f>
        <v>0</v>
      </c>
      <c r="T21" t="str">
        <v>Contribution to SOCSO</v>
      </c>
    </row>
    <row r="22" spans="1:20" x14ac:dyDescent="0.3">
      <c r="G22" s="2"/>
      <c r="T22" t="str">
        <v>Charging electric vehicle</v>
      </c>
    </row>
  </sheetData>
  <sheetProtection selectLockedCells="1" selectUnlockedCells="1"/>
  <sortState xmlns:xlrd2="http://schemas.microsoft.com/office/spreadsheetml/2017/richdata2" ref="G10:G21">
    <sortCondition descending="1" ref="G10:G21"/>
  </sortState>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FA501-7A9C-42A3-A134-F87034D58443}">
  <sheetPr codeName="Sheet3"/>
  <dimension ref="A1:D9"/>
  <sheetViews>
    <sheetView showRowColHeaders="0" workbookViewId="0">
      <selection activeCell="H18" sqref="H18"/>
    </sheetView>
  </sheetViews>
  <sheetFormatPr defaultRowHeight="14.4" x14ac:dyDescent="0.3"/>
  <cols>
    <col min="1" max="1" width="6.21875" bestFit="1" customWidth="1"/>
    <col min="2" max="2" width="22.6640625" customWidth="1"/>
    <col min="3" max="3" width="39.109375" bestFit="1" customWidth="1"/>
    <col min="4" max="4" width="17.5546875" customWidth="1"/>
    <col min="5" max="5" width="18.88671875" bestFit="1" customWidth="1"/>
  </cols>
  <sheetData>
    <row r="1" spans="1:4" x14ac:dyDescent="0.3">
      <c r="A1" t="s">
        <v>0</v>
      </c>
      <c r="B1" t="s">
        <v>1</v>
      </c>
      <c r="C1" t="s">
        <v>14</v>
      </c>
      <c r="D1" t="s">
        <v>36</v>
      </c>
    </row>
    <row r="2" spans="1:4" x14ac:dyDescent="0.3">
      <c r="A2">
        <v>1</v>
      </c>
      <c r="B2" t="s">
        <v>4</v>
      </c>
      <c r="C2" t="s">
        <v>15</v>
      </c>
      <c r="D2">
        <v>9000</v>
      </c>
    </row>
    <row r="3" spans="1:4" x14ac:dyDescent="0.3">
      <c r="A3">
        <v>4</v>
      </c>
      <c r="B3" t="s">
        <v>8</v>
      </c>
      <c r="C3" t="s">
        <v>8</v>
      </c>
      <c r="D3">
        <v>6000</v>
      </c>
    </row>
    <row r="4" spans="1:4" x14ac:dyDescent="0.3">
      <c r="A4">
        <v>15</v>
      </c>
      <c r="B4" t="s">
        <v>32</v>
      </c>
      <c r="C4" t="s">
        <v>32</v>
      </c>
      <c r="D4">
        <v>5000</v>
      </c>
    </row>
    <row r="5" spans="1:4" x14ac:dyDescent="0.3">
      <c r="A5" t="s">
        <v>33</v>
      </c>
      <c r="B5" t="s">
        <v>34</v>
      </c>
      <c r="C5" t="s">
        <v>35</v>
      </c>
      <c r="D5">
        <v>2000</v>
      </c>
    </row>
    <row r="6" spans="1:4" x14ac:dyDescent="0.3">
      <c r="A6" t="s">
        <v>37</v>
      </c>
      <c r="B6" t="s">
        <v>38</v>
      </c>
      <c r="C6" t="s">
        <v>39</v>
      </c>
      <c r="D6">
        <v>2000</v>
      </c>
    </row>
    <row r="7" spans="1:4" x14ac:dyDescent="0.3">
      <c r="A7" t="s">
        <v>37</v>
      </c>
      <c r="B7" t="s">
        <v>40</v>
      </c>
      <c r="C7" t="s">
        <v>40</v>
      </c>
      <c r="D7">
        <v>8000</v>
      </c>
    </row>
    <row r="8" spans="1:4" x14ac:dyDescent="0.3">
      <c r="A8" t="s">
        <v>41</v>
      </c>
      <c r="B8" t="s">
        <v>42</v>
      </c>
      <c r="C8" t="s">
        <v>42</v>
      </c>
      <c r="D8">
        <v>6000</v>
      </c>
    </row>
    <row r="9" spans="1:4" x14ac:dyDescent="0.3">
      <c r="A9" t="s">
        <v>41</v>
      </c>
      <c r="B9" t="s">
        <v>43</v>
      </c>
      <c r="C9" t="s">
        <v>44</v>
      </c>
      <c r="D9">
        <v>8000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7D45C-4EFF-4AC8-B18D-23A9A608845E}">
  <sheetPr codeName="Sheet4"/>
  <dimension ref="C2:K42"/>
  <sheetViews>
    <sheetView showRowColHeaders="0" topLeftCell="A8" workbookViewId="0">
      <selection activeCell="G8" sqref="G8"/>
    </sheetView>
  </sheetViews>
  <sheetFormatPr defaultRowHeight="14.4" x14ac:dyDescent="0.3"/>
  <cols>
    <col min="3" max="3" width="15.21875" customWidth="1"/>
    <col min="4" max="4" width="13.44140625" customWidth="1"/>
    <col min="5" max="5" width="22" customWidth="1"/>
    <col min="7" max="7" width="26.21875" bestFit="1" customWidth="1"/>
    <col min="8" max="8" width="18.109375" bestFit="1" customWidth="1"/>
    <col min="9" max="9" width="16.21875" bestFit="1" customWidth="1"/>
  </cols>
  <sheetData>
    <row r="2" spans="3:11" ht="34.200000000000003" customHeight="1" x14ac:dyDescent="0.45">
      <c r="C2" s="3" t="s">
        <v>65</v>
      </c>
      <c r="D2" s="3"/>
      <c r="E2" s="3"/>
      <c r="G2" t="s">
        <v>67</v>
      </c>
    </row>
    <row r="3" spans="3:11" x14ac:dyDescent="0.3">
      <c r="G3" t="s">
        <v>14</v>
      </c>
      <c r="H3" t="s">
        <v>68</v>
      </c>
      <c r="J3" t="str" cm="1">
        <f t="array" ref="J3:K3">_xlfn._xlws.SORT(_xlfn._xlws.FILTER(Improvement_taxRelief[],Improvement_taxRelief[Amount available]&gt;=LARGE(Improvement_taxRelief[Amount available],1)),2,1)</f>
        <v>Medical (self/spouse/child)</v>
      </c>
      <c r="K3">
        <v>9700</v>
      </c>
    </row>
    <row r="4" spans="3:11" x14ac:dyDescent="0.3">
      <c r="G4" t="s">
        <v>60</v>
      </c>
      <c r="H4">
        <v>9700</v>
      </c>
    </row>
    <row r="5" spans="3:11" x14ac:dyDescent="0.3">
      <c r="G5" t="s">
        <v>55</v>
      </c>
      <c r="H5">
        <v>8000</v>
      </c>
    </row>
    <row r="6" spans="3:11" x14ac:dyDescent="0.3">
      <c r="C6" t="s">
        <v>61</v>
      </c>
      <c r="E6">
        <f>'Tax Report Calculator'!J27</f>
        <v>166850</v>
      </c>
      <c r="G6" t="s">
        <v>17</v>
      </c>
      <c r="H6">
        <v>7000</v>
      </c>
    </row>
    <row r="7" spans="3:11" x14ac:dyDescent="0.3">
      <c r="G7" t="s">
        <v>16</v>
      </c>
      <c r="H7">
        <v>6000</v>
      </c>
    </row>
    <row r="8" spans="3:11" x14ac:dyDescent="0.3">
      <c r="G8" t="s">
        <v>31</v>
      </c>
      <c r="H8">
        <v>4000</v>
      </c>
    </row>
    <row r="9" spans="3:11" x14ac:dyDescent="0.3">
      <c r="C9" t="s">
        <v>62</v>
      </c>
      <c r="D9" t="s">
        <v>63</v>
      </c>
      <c r="E9" t="s">
        <v>64</v>
      </c>
      <c r="G9" t="s">
        <v>29</v>
      </c>
      <c r="H9">
        <v>3000</v>
      </c>
    </row>
    <row r="10" spans="3:11" x14ac:dyDescent="0.3">
      <c r="C10">
        <v>5000</v>
      </c>
      <c r="D10">
        <v>0</v>
      </c>
      <c r="E10">
        <f>IFERROR(MAX(0,IF($E$6&gt;Tax_Payable_Table[[#This Row],[Tax Bracket]],Tax_Payable_Table[[#This Row],[Tax Rate]]*(Tax_Payable_Table[[#This Row],[Tax Bracket]]-C9),Tax_Payable_Table[[#This Row],[Tax Rate]]*($E$6-C9))),0)</f>
        <v>0</v>
      </c>
      <c r="G10" t="s">
        <v>53</v>
      </c>
      <c r="H10">
        <v>2500</v>
      </c>
    </row>
    <row r="11" spans="3:11" x14ac:dyDescent="0.3">
      <c r="C11">
        <v>20000</v>
      </c>
      <c r="D11">
        <v>0.01</v>
      </c>
      <c r="E11">
        <f>IFERROR(MAX(0,IF($E$6&gt;Tax_Payable_Table[[#This Row],[Tax Bracket]],Tax_Payable_Table[[#This Row],[Tax Rate]]*(Tax_Payable_Table[[#This Row],[Tax Bracket]]-C10),Tax_Payable_Table[[#This Row],[Tax Rate]]*($E$6-C10))),0)</f>
        <v>150</v>
      </c>
      <c r="G11" t="s">
        <v>27</v>
      </c>
      <c r="H11">
        <v>1000</v>
      </c>
    </row>
    <row r="12" spans="3:11" x14ac:dyDescent="0.3">
      <c r="C12">
        <v>35000</v>
      </c>
      <c r="D12">
        <v>0.03</v>
      </c>
      <c r="E12">
        <f>IFERROR(MAX(0,IF($E$6&gt;Tax_Payable_Table[[#This Row],[Tax Bracket]],Tax_Payable_Table[[#This Row],[Tax Rate]]*(Tax_Payable_Table[[#This Row],[Tax Bracket]]-C11),Tax_Payable_Table[[#This Row],[Tax Rate]]*($E$6-C11))),0)</f>
        <v>450</v>
      </c>
      <c r="G12" t="s">
        <v>23</v>
      </c>
      <c r="H12">
        <v>500</v>
      </c>
    </row>
    <row r="13" spans="3:11" x14ac:dyDescent="0.3">
      <c r="C13">
        <v>50000</v>
      </c>
      <c r="D13">
        <v>0.06</v>
      </c>
      <c r="E13">
        <f>IFERROR(MAX(0,IF($E$6&gt;Tax_Payable_Table[[#This Row],[Tax Bracket]],Tax_Payable_Table[[#This Row],[Tax Rate]]*(Tax_Payable_Table[[#This Row],[Tax Bracket]]-C12),Tax_Payable_Table[[#This Row],[Tax Rate]]*($E$6-C12))),0)</f>
        <v>900</v>
      </c>
    </row>
    <row r="14" spans="3:11" x14ac:dyDescent="0.3">
      <c r="C14">
        <v>70000</v>
      </c>
      <c r="D14">
        <v>0.11</v>
      </c>
      <c r="E14">
        <f>IFERROR(MAX(0,IF($E$6&gt;Tax_Payable_Table[[#This Row],[Tax Bracket]],Tax_Payable_Table[[#This Row],[Tax Rate]]*(Tax_Payable_Table[[#This Row],[Tax Bracket]]-C13),Tax_Payable_Table[[#This Row],[Tax Rate]]*($E$6-C13))),0)</f>
        <v>2200</v>
      </c>
    </row>
    <row r="15" spans="3:11" x14ac:dyDescent="0.3">
      <c r="C15">
        <v>100000</v>
      </c>
      <c r="D15">
        <v>0.19</v>
      </c>
      <c r="E15">
        <f>IFERROR(MAX(0,IF($E$6&gt;Tax_Payable_Table[[#This Row],[Tax Bracket]],Tax_Payable_Table[[#This Row],[Tax Rate]]*(Tax_Payable_Table[[#This Row],[Tax Bracket]]-C14),Tax_Payable_Table[[#This Row],[Tax Rate]]*($E$6-C14))),0)</f>
        <v>5700</v>
      </c>
    </row>
    <row r="16" spans="3:11" x14ac:dyDescent="0.3">
      <c r="C16">
        <v>400000</v>
      </c>
      <c r="D16">
        <v>0.25</v>
      </c>
      <c r="E16">
        <f>IFERROR(MAX(0,IF($E$6&gt;Tax_Payable_Table[[#This Row],[Tax Bracket]],Tax_Payable_Table[[#This Row],[Tax Rate]]*(Tax_Payable_Table[[#This Row],[Tax Bracket]]-C15),Tax_Payable_Table[[#This Row],[Tax Rate]]*($E$6-C15))),0)</f>
        <v>16712.5</v>
      </c>
    </row>
    <row r="17" spans="3:5" x14ac:dyDescent="0.3">
      <c r="C17">
        <v>600000</v>
      </c>
      <c r="D17">
        <v>0.26</v>
      </c>
      <c r="E17">
        <f>IFERROR(MAX(0,IF($E$6&gt;Tax_Payable_Table[[#This Row],[Tax Bracket]],Tax_Payable_Table[[#This Row],[Tax Rate]]*(Tax_Payable_Table[[#This Row],[Tax Bracket]]-C16),Tax_Payable_Table[[#This Row],[Tax Rate]]*($E$6-C16))),0)</f>
        <v>0</v>
      </c>
    </row>
    <row r="18" spans="3:5" x14ac:dyDescent="0.3">
      <c r="C18">
        <v>2000000</v>
      </c>
      <c r="D18">
        <v>0.28000000000000003</v>
      </c>
      <c r="E18">
        <f>IFERROR(MAX(0,IF($E$6&gt;Tax_Payable_Table[[#This Row],[Tax Bracket]],Tax_Payable_Table[[#This Row],[Tax Rate]]*(Tax_Payable_Table[[#This Row],[Tax Bracket]]-C17),Tax_Payable_Table[[#This Row],[Tax Rate]]*($E$6-C17))),0)</f>
        <v>0</v>
      </c>
    </row>
    <row r="19" spans="3:5" x14ac:dyDescent="0.3">
      <c r="C19" s="4" t="s">
        <v>66</v>
      </c>
      <c r="D19">
        <v>0.3</v>
      </c>
      <c r="E19">
        <f>IFERROR(MAX(0,IF($E$6&gt;Tax_Payable_Table[[#This Row],[Tax Bracket]],Tax_Payable_Table[[#This Row],[Tax Rate]]*(Tax_Payable_Table[[#This Row],[Tax Bracket]]-C18),Tax_Payable_Table[[#This Row],[Tax Rate]]*($E$6-C18))),0)</f>
        <v>0</v>
      </c>
    </row>
    <row r="20" spans="3:5" x14ac:dyDescent="0.3">
      <c r="C20" t="s">
        <v>56</v>
      </c>
      <c r="E20">
        <f>SUBTOTAL(109,Tax_Payable_Table[Taxes])</f>
        <v>26112.5</v>
      </c>
    </row>
    <row r="22" spans="3:5" ht="21" x14ac:dyDescent="0.4">
      <c r="C22" s="95" t="s">
        <v>182</v>
      </c>
    </row>
    <row r="24" spans="3:5" x14ac:dyDescent="0.3">
      <c r="C24" t="s">
        <v>183</v>
      </c>
      <c r="E24">
        <f>'Tax Report Calculator'!J14</f>
        <v>100000</v>
      </c>
    </row>
    <row r="25" spans="3:5" x14ac:dyDescent="0.3">
      <c r="C25" t="s">
        <v>184</v>
      </c>
      <c r="E25">
        <v>0.11</v>
      </c>
    </row>
    <row r="26" spans="3:5" x14ac:dyDescent="0.3">
      <c r="C26" t="s">
        <v>185</v>
      </c>
      <c r="E26">
        <f>MIN(E24*E25,4000)</f>
        <v>4000</v>
      </c>
    </row>
    <row r="27" spans="3:5" x14ac:dyDescent="0.3">
      <c r="C27" t="s">
        <v>186</v>
      </c>
      <c r="E27">
        <v>9000</v>
      </c>
    </row>
    <row r="29" spans="3:5" x14ac:dyDescent="0.3">
      <c r="C29" t="s">
        <v>187</v>
      </c>
      <c r="E29">
        <f>E24-E26-E27</f>
        <v>87000</v>
      </c>
    </row>
    <row r="31" spans="3:5" x14ac:dyDescent="0.3">
      <c r="C31" t="s">
        <v>62</v>
      </c>
      <c r="D31" t="s">
        <v>63</v>
      </c>
      <c r="E31" t="s">
        <v>64</v>
      </c>
    </row>
    <row r="32" spans="3:5" x14ac:dyDescent="0.3">
      <c r="C32">
        <v>5000</v>
      </c>
      <c r="D32">
        <v>0</v>
      </c>
      <c r="E32">
        <f>IFERROR(MAX(0,IF($E$29&gt;Monthly_Tax_Total[[#This Row],[Tax Bracket]],Monthly_Tax_Total[[#This Row],[Tax Rate]]*(Monthly_Tax_Total[[#This Row],[Tax Bracket]]-C31),Monthly_Tax_Total[[#This Row],[Tax Rate]]*($E$29-C31))),0)</f>
        <v>0</v>
      </c>
    </row>
    <row r="33" spans="3:5" x14ac:dyDescent="0.3">
      <c r="C33">
        <v>20000</v>
      </c>
      <c r="D33">
        <v>0.01</v>
      </c>
      <c r="E33">
        <f>IFERROR(MAX(0,IF($E$29&gt;Monthly_Tax_Total[[#This Row],[Tax Bracket]],Monthly_Tax_Total[[#This Row],[Tax Rate]]*(Monthly_Tax_Total[[#This Row],[Tax Bracket]]-C32),Monthly_Tax_Total[[#This Row],[Tax Rate]]*($E$29-C32))),0)</f>
        <v>150</v>
      </c>
    </row>
    <row r="34" spans="3:5" x14ac:dyDescent="0.3">
      <c r="C34">
        <v>35000</v>
      </c>
      <c r="D34">
        <v>0.03</v>
      </c>
      <c r="E34">
        <f>IFERROR(MAX(0,IF($E$29&gt;Monthly_Tax_Total[[#This Row],[Tax Bracket]],Monthly_Tax_Total[[#This Row],[Tax Rate]]*(Monthly_Tax_Total[[#This Row],[Tax Bracket]]-C33),Monthly_Tax_Total[[#This Row],[Tax Rate]]*($E$29-C33))),0)</f>
        <v>450</v>
      </c>
    </row>
    <row r="35" spans="3:5" x14ac:dyDescent="0.3">
      <c r="C35">
        <v>50000</v>
      </c>
      <c r="D35">
        <v>0.06</v>
      </c>
      <c r="E35">
        <f>IFERROR(MAX(0,IF($E$29&gt;Monthly_Tax_Total[[#This Row],[Tax Bracket]],Monthly_Tax_Total[[#This Row],[Tax Rate]]*(Monthly_Tax_Total[[#This Row],[Tax Bracket]]-C34),Monthly_Tax_Total[[#This Row],[Tax Rate]]*($E$29-C34))),0)</f>
        <v>900</v>
      </c>
    </row>
    <row r="36" spans="3:5" x14ac:dyDescent="0.3">
      <c r="C36">
        <v>70000</v>
      </c>
      <c r="D36">
        <v>0.11</v>
      </c>
      <c r="E36">
        <f>IFERROR(MAX(0,IF($E$29&gt;Monthly_Tax_Total[[#This Row],[Tax Bracket]],Monthly_Tax_Total[[#This Row],[Tax Rate]]*(Monthly_Tax_Total[[#This Row],[Tax Bracket]]-C35),Monthly_Tax_Total[[#This Row],[Tax Rate]]*($E$29-C35))),0)</f>
        <v>2200</v>
      </c>
    </row>
    <row r="37" spans="3:5" x14ac:dyDescent="0.3">
      <c r="C37">
        <v>100000</v>
      </c>
      <c r="D37">
        <v>0.19</v>
      </c>
      <c r="E37">
        <f>IFERROR(MAX(0,IF($E$29&gt;Monthly_Tax_Total[[#This Row],[Tax Bracket]],Monthly_Tax_Total[[#This Row],[Tax Rate]]*(Monthly_Tax_Total[[#This Row],[Tax Bracket]]-C36),Monthly_Tax_Total[[#This Row],[Tax Rate]]*($E$29-C36))),0)</f>
        <v>3230</v>
      </c>
    </row>
    <row r="38" spans="3:5" x14ac:dyDescent="0.3">
      <c r="C38">
        <v>400000</v>
      </c>
      <c r="D38">
        <v>0.25</v>
      </c>
      <c r="E38">
        <f>IFERROR(MAX(0,IF($E$29&gt;Monthly_Tax_Total[[#This Row],[Tax Bracket]],Monthly_Tax_Total[[#This Row],[Tax Rate]]*(Monthly_Tax_Total[[#This Row],[Tax Bracket]]-C37),Monthly_Tax_Total[[#This Row],[Tax Rate]]*($E$29-C37))),0)</f>
        <v>0</v>
      </c>
    </row>
    <row r="39" spans="3:5" x14ac:dyDescent="0.3">
      <c r="C39">
        <v>600000</v>
      </c>
      <c r="D39">
        <v>0.26</v>
      </c>
      <c r="E39">
        <f>IFERROR(MAX(0,IF($E$29&gt;Monthly_Tax_Total[[#This Row],[Tax Bracket]],Monthly_Tax_Total[[#This Row],[Tax Rate]]*(Monthly_Tax_Total[[#This Row],[Tax Bracket]]-C38),Monthly_Tax_Total[[#This Row],[Tax Rate]]*($E$29-C38))),0)</f>
        <v>0</v>
      </c>
    </row>
    <row r="40" spans="3:5" x14ac:dyDescent="0.3">
      <c r="C40">
        <v>2000000</v>
      </c>
      <c r="D40">
        <v>0.28000000000000003</v>
      </c>
      <c r="E40">
        <f>IFERROR(MAX(0,IF($E$29&gt;Monthly_Tax_Total[[#This Row],[Tax Bracket]],Monthly_Tax_Total[[#This Row],[Tax Rate]]*(Monthly_Tax_Total[[#This Row],[Tax Bracket]]-C39),Monthly_Tax_Total[[#This Row],[Tax Rate]]*($E$29-C39))),0)</f>
        <v>0</v>
      </c>
    </row>
    <row r="41" spans="3:5" x14ac:dyDescent="0.3">
      <c r="C41" s="4" t="s">
        <v>66</v>
      </c>
      <c r="D41">
        <v>0.3</v>
      </c>
      <c r="E41">
        <f>IFERROR(MAX(0,IF($E$29&gt;Monthly_Tax_Total[[#This Row],[Tax Bracket]],Monthly_Tax_Total[[#This Row],[Tax Rate]]*(Monthly_Tax_Total[[#This Row],[Tax Bracket]]-C40),Monthly_Tax_Total[[#This Row],[Tax Rate]]*($E$29-C40))),0)</f>
        <v>0</v>
      </c>
    </row>
    <row r="42" spans="3:5" x14ac:dyDescent="0.3">
      <c r="C42" t="s">
        <v>56</v>
      </c>
      <c r="E42">
        <f>SUBTOTAL(109,Monthly_Tax_Total[Taxes])</f>
        <v>6930</v>
      </c>
    </row>
  </sheetData>
  <sheetProtection algorithmName="SHA-512" hashValue="fyWo6f/XHOMI9PNRljerGk0SrvGxI+h8yeoCjfv4inTwKnGB9E7XmHVHLm/ArryVigKdRN/wzRyPLvPkxbRvsQ==" saltValue="WfbPGkkAtYE6ZTYNud0ofA==" spinCount="100000" sheet="1" objects="1" scenarios="1" selectLockedCells="1" selectUnlockedCells="1"/>
  <pageMargins left="0.7" right="0.7" top="0.75" bottom="0.75" header="0.3" footer="0.3"/>
  <tableParts count="3">
    <tablePart r:id="rId1"/>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CF86-D855-455C-B523-9D700D853110}">
  <sheetPr codeName="Sheet8"/>
  <dimension ref="A1:Q17"/>
  <sheetViews>
    <sheetView showGridLines="0" showRowColHeaders="0" workbookViewId="0">
      <selection activeCell="G15" sqref="G15"/>
    </sheetView>
  </sheetViews>
  <sheetFormatPr defaultRowHeight="14.4" x14ac:dyDescent="0.3"/>
  <cols>
    <col min="1" max="1" width="15.6640625" customWidth="1"/>
    <col min="2" max="2" width="11.77734375" bestFit="1" customWidth="1"/>
    <col min="4" max="4" width="40.5546875" bestFit="1" customWidth="1"/>
    <col min="5" max="5" width="10.77734375" style="90" bestFit="1" customWidth="1"/>
    <col min="7" max="7" width="28" bestFit="1" customWidth="1"/>
  </cols>
  <sheetData>
    <row r="1" spans="1:17" x14ac:dyDescent="0.3">
      <c r="G1" t="s">
        <v>194</v>
      </c>
      <c r="M1" t="s">
        <v>195</v>
      </c>
    </row>
    <row r="2" spans="1:17" x14ac:dyDescent="0.3">
      <c r="A2" t="s">
        <v>76</v>
      </c>
      <c r="B2" s="90" t="s">
        <v>56</v>
      </c>
      <c r="D2" s="91" t="str" cm="1">
        <f t="array" ref="D2:E10">_xlfn._xlws.SORT(_xlfn.CHOOSECOLS(_xlfn._xlws.FILTER(Expenses_Categories[[Category]:[Tax Relief]],Expenses_Categories[Tax Relief]&lt;&gt;0),1,7),2,-1)</f>
        <v>Net deposit in SSPN</v>
      </c>
      <c r="E2" s="92">
        <v>5000</v>
      </c>
      <c r="G2" t="str" cm="1">
        <f t="array" ref="G2:H7">_xlfn._xlws.SORT(_xlfn.CHOOSECOLS(_xlfn._xlws.FILTER(Expenses_Categories[[Category]:[Tax Relief]],Expenses_Categories[Tax Relief]&gt;=LARGE(Expenses_Categories[Tax Relief],5)),1,7),2,-1)</f>
        <v>Net deposit in SSPN</v>
      </c>
      <c r="H2">
        <v>5000</v>
      </c>
      <c r="J2" t="str" cm="1">
        <f t="array" ref="J2:K15">_xlfn._xlws.SORT(_xlfn.CHOOSECOLS(_xlfn._xlws.FILTER(Expenses_Categories[[Category]:[Tax Relief]],Expenses_Categories[Tax Relief]&lt;LARGE(Expenses_Categories[Tax Relief],5)),1,7),2,-1)</f>
        <v>Lifestyle(books/personal smart device/sports equipment/internet bill)</v>
      </c>
      <c r="K2">
        <v>2500</v>
      </c>
      <c r="M2" t="s">
        <v>193</v>
      </c>
      <c r="N2">
        <f>SUM(_xlfn.ANCHORARRAY(J2))</f>
        <v>3150</v>
      </c>
      <c r="P2" t="str" cm="1">
        <f t="array" ref="P2:Q8">_xlfn.VSTACK(_xlfn.ANCHORARRAY(G2),M2:N2)</f>
        <v>Net deposit in SSPN</v>
      </c>
      <c r="Q2">
        <v>5000</v>
      </c>
    </row>
    <row r="3" spans="1:17" x14ac:dyDescent="0.3">
      <c r="A3" t="s">
        <v>177</v>
      </c>
      <c r="B3" s="90">
        <f>'Tax Report Calculator'!$G$86</f>
        <v>0</v>
      </c>
      <c r="D3" s="91" t="str">
        <v>EPF</v>
      </c>
      <c r="E3" s="92">
        <v>4000</v>
      </c>
      <c r="G3" t="str">
        <v>EPF</v>
      </c>
      <c r="H3">
        <v>4000</v>
      </c>
      <c r="J3" t="str">
        <v>Contribution to SOCSO</v>
      </c>
      <c r="K3">
        <v>350</v>
      </c>
      <c r="P3" t="str">
        <v>EPF</v>
      </c>
      <c r="Q3">
        <v>4000</v>
      </c>
    </row>
    <row r="4" spans="1:17" x14ac:dyDescent="0.3">
      <c r="A4" t="s">
        <v>167</v>
      </c>
      <c r="B4" s="90">
        <f>'Tax Report Calculator'!$G$87</f>
        <v>0</v>
      </c>
      <c r="D4" s="91" t="str">
        <v>Kindergarden (6yo and below)</v>
      </c>
      <c r="E4" s="92">
        <v>3000</v>
      </c>
      <c r="G4" t="str">
        <v>Kindergarden (6yo and below)</v>
      </c>
      <c r="H4">
        <v>3000</v>
      </c>
      <c r="J4" t="str">
        <v>Medical (self/spouse/child)</v>
      </c>
      <c r="K4">
        <v>300</v>
      </c>
      <c r="P4" t="str">
        <v>Kindergarden (6yo and below)</v>
      </c>
      <c r="Q4">
        <v>3000</v>
      </c>
    </row>
    <row r="5" spans="1:17" x14ac:dyDescent="0.3">
      <c r="A5" t="s">
        <v>57</v>
      </c>
      <c r="B5" s="90">
        <f>'Tax Report Calculator'!$G$92</f>
        <v>33150</v>
      </c>
      <c r="D5" s="91" t="str">
        <v>Life Insurance</v>
      </c>
      <c r="E5" s="92">
        <v>3000</v>
      </c>
      <c r="G5" t="str">
        <v>Life Insurance</v>
      </c>
      <c r="H5">
        <v>3000</v>
      </c>
      <c r="J5" t="str">
        <v>Medical(parents)</v>
      </c>
      <c r="K5">
        <v>0</v>
      </c>
      <c r="P5" t="str">
        <v>Life Insurance</v>
      </c>
      <c r="Q5">
        <v>3000</v>
      </c>
    </row>
    <row r="6" spans="1:17" x14ac:dyDescent="0.3">
      <c r="D6" s="91" t="str">
        <v>PRS</v>
      </c>
      <c r="E6" s="92">
        <v>3000</v>
      </c>
      <c r="G6" t="str">
        <v>PRS</v>
      </c>
      <c r="H6">
        <v>3000</v>
      </c>
      <c r="J6" t="str">
        <v>Supporting equipment</v>
      </c>
      <c r="K6">
        <v>0</v>
      </c>
      <c r="P6" t="str">
        <v>PRS</v>
      </c>
      <c r="Q6">
        <v>3000</v>
      </c>
    </row>
    <row r="7" spans="1:17" x14ac:dyDescent="0.3">
      <c r="D7" s="91" t="str">
        <v>Education and medical insurance</v>
      </c>
      <c r="E7" s="92">
        <v>3000</v>
      </c>
      <c r="G7" t="str">
        <v>Education and medical insurance</v>
      </c>
      <c r="H7">
        <v>3000</v>
      </c>
      <c r="J7" t="str">
        <v>Education(self)</v>
      </c>
      <c r="K7">
        <v>0</v>
      </c>
      <c r="P7" t="str">
        <v>Education and medical insurance</v>
      </c>
      <c r="Q7">
        <v>3000</v>
      </c>
    </row>
    <row r="8" spans="1:17" x14ac:dyDescent="0.3">
      <c r="D8" s="91" t="str">
        <v>Lifestyle(books/personal smart device/sports equipment/internet bill)</v>
      </c>
      <c r="E8" s="92">
        <v>2500</v>
      </c>
      <c r="J8" t="str">
        <v>Education (upskilling)</v>
      </c>
      <c r="K8">
        <v>0</v>
      </c>
      <c r="P8" t="str">
        <v>Others</v>
      </c>
      <c r="Q8">
        <v>3150</v>
      </c>
    </row>
    <row r="9" spans="1:17" x14ac:dyDescent="0.3">
      <c r="D9" s="91" t="str">
        <v>Contribution to SOCSO</v>
      </c>
      <c r="E9" s="92">
        <v>350</v>
      </c>
      <c r="J9" t="str">
        <v>Vaccination(self/spouse/child)</v>
      </c>
      <c r="K9">
        <v>0</v>
      </c>
    </row>
    <row r="10" spans="1:17" x14ac:dyDescent="0.3">
      <c r="D10" s="91" t="str">
        <v>Medical (self/spouse/child)</v>
      </c>
      <c r="E10" s="92">
        <v>300</v>
      </c>
      <c r="J10" t="str">
        <v>Medical Examination(self/spouse/child)</v>
      </c>
      <c r="K10">
        <v>0</v>
      </c>
    </row>
    <row r="11" spans="1:17" x14ac:dyDescent="0.3">
      <c r="D11" s="91"/>
      <c r="E11" s="92"/>
      <c r="J11" t="str">
        <v>Intellectual disability(child)</v>
      </c>
      <c r="K11">
        <v>0</v>
      </c>
    </row>
    <row r="12" spans="1:17" x14ac:dyDescent="0.3">
      <c r="D12" s="91"/>
      <c r="E12" s="92"/>
      <c r="J12" t="str">
        <v>Lifestyle(sports)</v>
      </c>
      <c r="K12">
        <v>0</v>
      </c>
    </row>
    <row r="13" spans="1:17" x14ac:dyDescent="0.3">
      <c r="D13" s="91"/>
      <c r="E13" s="92"/>
      <c r="J13" t="str">
        <v>Breastfeeding (2yo and below)</v>
      </c>
      <c r="K13">
        <v>0</v>
      </c>
    </row>
    <row r="14" spans="1:17" x14ac:dyDescent="0.3">
      <c r="D14" s="91"/>
      <c r="E14" s="92"/>
      <c r="J14" t="str">
        <v>Alimony</v>
      </c>
      <c r="K14">
        <v>0</v>
      </c>
    </row>
    <row r="15" spans="1:17" x14ac:dyDescent="0.3">
      <c r="D15" s="91"/>
      <c r="E15" s="92"/>
      <c r="J15" t="str">
        <v>Charging electric vehicle</v>
      </c>
      <c r="K15">
        <v>0</v>
      </c>
    </row>
    <row r="16" spans="1:17" x14ac:dyDescent="0.3">
      <c r="D16" s="91"/>
      <c r="E16" s="92"/>
    </row>
    <row r="17" spans="4:5" x14ac:dyDescent="0.3">
      <c r="D17" s="91"/>
      <c r="E17" s="92"/>
    </row>
  </sheetData>
  <sheetProtection algorithmName="SHA-512" hashValue="aLYBQkMRUd2HTeBKvUlckrGZryhhLNAJ5USMmnIVQPtPsRmxxpW4NfGmNVQakd98ahWHlHGu8pRGuPYvuyVvuw==" saltValue="ll+wEv97p5P/La51aszohg==" spinCount="100000" sheet="1" objects="1" scenarios="1"/>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F1508-99AF-496F-A5CB-91E762E8A071}">
  <sheetPr codeName="Sheet6"/>
  <dimension ref="B1:V62"/>
  <sheetViews>
    <sheetView showGridLines="0" showRowColHeaders="0" zoomScale="85" zoomScaleNormal="85" workbookViewId="0">
      <selection activeCell="D5" sqref="D5:F5"/>
    </sheetView>
  </sheetViews>
  <sheetFormatPr defaultColWidth="9.88671875" defaultRowHeight="20.100000000000001" customHeight="1" x14ac:dyDescent="0.3"/>
  <cols>
    <col min="1" max="1" width="4.33203125" style="8" customWidth="1"/>
    <col min="2" max="2" width="42.33203125" style="8" customWidth="1"/>
    <col min="3" max="3" width="3" style="8" customWidth="1"/>
    <col min="4" max="4" width="14.109375" style="8" customWidth="1"/>
    <col min="5" max="5" width="2.33203125" style="8" customWidth="1"/>
    <col min="6" max="6" width="18.88671875" style="8" customWidth="1"/>
    <col min="7" max="7" width="2.33203125" style="8" customWidth="1"/>
    <col min="8" max="8" width="42.33203125" style="8" customWidth="1"/>
    <col min="9" max="9" width="2.33203125" style="8" customWidth="1"/>
    <col min="10" max="10" width="13" style="8" customWidth="1"/>
    <col min="11" max="11" width="3.5546875" style="8" customWidth="1"/>
    <col min="12" max="12" width="19" style="8" customWidth="1"/>
    <col min="13" max="13" width="4.109375" style="8" customWidth="1"/>
    <col min="14" max="14" width="9" style="8" customWidth="1"/>
    <col min="15" max="15" width="14.109375" style="8" customWidth="1"/>
    <col min="16" max="16" width="18.44140625" style="8" hidden="1" customWidth="1"/>
    <col min="17" max="17" width="15.6640625" style="8" hidden="1" customWidth="1"/>
    <col min="18" max="18" width="15" style="8" hidden="1" customWidth="1"/>
    <col min="19" max="19" width="12.109375" style="8" hidden="1" customWidth="1"/>
    <col min="20" max="16384" width="9.88671875" style="8"/>
  </cols>
  <sheetData>
    <row r="1" spans="2:14" ht="44.4" customHeight="1" x14ac:dyDescent="0.3">
      <c r="B1" s="31" t="s">
        <v>97</v>
      </c>
    </row>
    <row r="2" spans="2:14" ht="31.8" customHeight="1" x14ac:dyDescent="0.3"/>
    <row r="3" spans="2:14" ht="99" customHeight="1" thickBot="1" x14ac:dyDescent="0.35">
      <c r="B3" s="167" t="s">
        <v>71</v>
      </c>
      <c r="C3" s="167"/>
      <c r="D3" s="167"/>
      <c r="E3" s="167"/>
      <c r="F3" s="167"/>
      <c r="G3" s="167"/>
      <c r="H3" s="167"/>
      <c r="I3" s="167"/>
      <c r="J3" s="167"/>
      <c r="K3" s="167"/>
      <c r="L3" s="167"/>
    </row>
    <row r="4" spans="2:14" ht="27" customHeight="1" thickTop="1" x14ac:dyDescent="0.3"/>
    <row r="5" spans="2:14" ht="30.6" customHeight="1" thickBot="1" x14ac:dyDescent="0.35">
      <c r="B5" s="28" t="s">
        <v>98</v>
      </c>
      <c r="D5" s="168" t="s">
        <v>100</v>
      </c>
      <c r="E5" s="169"/>
      <c r="F5" s="170"/>
      <c r="H5" s="28" t="s">
        <v>99</v>
      </c>
      <c r="J5" s="171">
        <f ca="1">TODAY()</f>
        <v>45323</v>
      </c>
      <c r="K5" s="171"/>
      <c r="L5" s="171"/>
      <c r="N5"/>
    </row>
    <row r="6" spans="2:14" ht="15.6" customHeight="1" x14ac:dyDescent="0.3"/>
    <row r="7" spans="2:14" ht="32.4" customHeight="1" thickBot="1" x14ac:dyDescent="0.35">
      <c r="B7" s="148" t="s">
        <v>79</v>
      </c>
      <c r="C7" s="148"/>
      <c r="D7" s="148"/>
      <c r="E7" s="148"/>
      <c r="F7" s="148"/>
      <c r="G7" s="148"/>
      <c r="H7" s="148"/>
      <c r="I7" s="148"/>
      <c r="J7" s="148"/>
      <c r="K7" s="148"/>
      <c r="L7" s="148"/>
    </row>
    <row r="8" spans="2:14" ht="28.2" customHeight="1" thickTop="1" x14ac:dyDescent="0.3">
      <c r="B8" s="27"/>
      <c r="C8" s="27"/>
      <c r="D8" s="27"/>
      <c r="E8" s="27"/>
      <c r="F8" s="27"/>
      <c r="G8" s="27"/>
      <c r="H8" s="27"/>
      <c r="I8" s="27"/>
      <c r="J8" s="27"/>
      <c r="K8" s="27"/>
      <c r="L8" s="27"/>
    </row>
    <row r="9" spans="2:14" ht="28.2" customHeight="1" x14ac:dyDescent="0.3">
      <c r="B9" s="28" t="s">
        <v>96</v>
      </c>
      <c r="C9" s="27"/>
      <c r="D9" s="27"/>
      <c r="E9" s="27"/>
      <c r="F9" s="45">
        <v>200000</v>
      </c>
      <c r="G9" s="27"/>
      <c r="H9" s="27"/>
      <c r="I9" s="27"/>
      <c r="J9" s="27"/>
      <c r="K9" s="27"/>
      <c r="L9" s="27"/>
    </row>
    <row r="10" spans="2:14" ht="20.100000000000001" customHeight="1" x14ac:dyDescent="0.3">
      <c r="B10" s="9"/>
      <c r="C10" s="9"/>
      <c r="D10" s="9"/>
      <c r="E10" s="9"/>
      <c r="F10" s="9"/>
      <c r="G10" s="9"/>
      <c r="H10" s="9"/>
      <c r="I10" s="9"/>
      <c r="J10" s="9"/>
      <c r="K10" s="9"/>
      <c r="L10" s="9"/>
    </row>
    <row r="11" spans="2:14" ht="35.1" customHeight="1" x14ac:dyDescent="0.3">
      <c r="B11" s="10" t="s">
        <v>87</v>
      </c>
      <c r="C11" s="10"/>
      <c r="D11" s="11" t="s">
        <v>82</v>
      </c>
      <c r="E11" s="10"/>
      <c r="F11" s="12" t="s">
        <v>83</v>
      </c>
      <c r="G11" s="12"/>
      <c r="H11" s="10" t="s">
        <v>81</v>
      </c>
      <c r="I11" s="10"/>
      <c r="J11" s="11" t="s">
        <v>84</v>
      </c>
      <c r="K11" s="10"/>
      <c r="L11" s="12" t="s">
        <v>83</v>
      </c>
    </row>
    <row r="12" spans="2:14" ht="30" customHeight="1" thickBot="1" x14ac:dyDescent="0.35">
      <c r="B12" s="10" t="s">
        <v>72</v>
      </c>
      <c r="C12" s="13"/>
      <c r="D12" s="30" t="s">
        <v>73</v>
      </c>
      <c r="E12" s="13"/>
      <c r="F12" s="48">
        <f>'Categories (Toggle)'!D3</f>
        <v>6000</v>
      </c>
      <c r="G12" s="14"/>
      <c r="H12" s="46" t="s">
        <v>85</v>
      </c>
      <c r="I12" s="13"/>
      <c r="J12" s="30">
        <v>0</v>
      </c>
      <c r="K12" s="13"/>
      <c r="L12" s="48">
        <f>J12*'Categories (Toggle)'!D5</f>
        <v>0</v>
      </c>
    </row>
    <row r="13" spans="2:14" ht="30" customHeight="1" thickBot="1" x14ac:dyDescent="0.35">
      <c r="B13" s="10" t="s">
        <v>91</v>
      </c>
      <c r="C13" s="13"/>
      <c r="D13" s="30" t="s">
        <v>174</v>
      </c>
      <c r="E13" s="13"/>
      <c r="F13" s="49">
        <f>'Categories (Toggle)'!D2</f>
        <v>9000</v>
      </c>
      <c r="G13" s="6"/>
      <c r="H13" s="10" t="s">
        <v>86</v>
      </c>
      <c r="I13" s="15"/>
      <c r="J13" s="53">
        <v>0</v>
      </c>
      <c r="K13" s="15"/>
      <c r="L13" s="55">
        <f>J13*'Categories (Toggle)'!D6</f>
        <v>0</v>
      </c>
    </row>
    <row r="14" spans="2:14" ht="30" customHeight="1" x14ac:dyDescent="0.3">
      <c r="B14" s="46"/>
      <c r="C14" s="15"/>
      <c r="D14" s="46"/>
      <c r="E14" s="15"/>
      <c r="F14" s="50"/>
      <c r="G14" s="6"/>
      <c r="H14" s="46" t="s">
        <v>88</v>
      </c>
      <c r="I14" s="13"/>
      <c r="J14" s="30">
        <v>0</v>
      </c>
      <c r="K14" s="13"/>
      <c r="L14" s="56">
        <f>J14*'Categories (Toggle)'!D7</f>
        <v>0</v>
      </c>
    </row>
    <row r="15" spans="2:14" ht="30" customHeight="1" x14ac:dyDescent="0.3">
      <c r="B15" s="46" t="s">
        <v>75</v>
      </c>
      <c r="C15" s="15"/>
      <c r="D15" s="47" t="s">
        <v>73</v>
      </c>
      <c r="E15" s="15"/>
      <c r="F15" s="51">
        <f>IF(D15="Yes",5000,0)</f>
        <v>0</v>
      </c>
      <c r="G15" s="6"/>
      <c r="H15" s="52"/>
      <c r="J15" s="54"/>
      <c r="L15" s="57"/>
    </row>
    <row r="16" spans="2:14" ht="30" customHeight="1" thickBot="1" x14ac:dyDescent="0.35">
      <c r="B16" s="46" t="s">
        <v>74</v>
      </c>
      <c r="C16" s="15"/>
      <c r="D16" s="47" t="s">
        <v>69</v>
      </c>
      <c r="E16" s="15"/>
      <c r="F16" s="51">
        <f>IF(D16="No",4000,0)</f>
        <v>0</v>
      </c>
      <c r="G16" s="5"/>
      <c r="H16" s="46" t="s">
        <v>89</v>
      </c>
      <c r="I16" s="16"/>
      <c r="J16" s="53">
        <v>0</v>
      </c>
      <c r="K16" s="15"/>
      <c r="L16" s="58">
        <f>J16*'Categories (Toggle)'!D8</f>
        <v>0</v>
      </c>
    </row>
    <row r="17" spans="2:22" ht="38.4" customHeight="1" thickBot="1" x14ac:dyDescent="0.35">
      <c r="B17" s="46" t="s">
        <v>92</v>
      </c>
      <c r="C17" s="15"/>
      <c r="D17" s="15"/>
      <c r="E17" s="15"/>
      <c r="F17" s="47">
        <v>0</v>
      </c>
      <c r="G17" s="6"/>
      <c r="H17" s="46" t="s">
        <v>90</v>
      </c>
      <c r="I17" s="15"/>
      <c r="J17" s="53">
        <v>0</v>
      </c>
      <c r="K17" s="15"/>
      <c r="L17" s="59">
        <f>J17*SUM('Categories (Toggle)'!D8:D9)</f>
        <v>0</v>
      </c>
    </row>
    <row r="18" spans="2:22" ht="30" customHeight="1" x14ac:dyDescent="0.3">
      <c r="B18" s="15"/>
      <c r="C18" s="15"/>
      <c r="D18" s="15"/>
      <c r="E18" s="15"/>
      <c r="F18" s="7"/>
      <c r="G18" s="5"/>
      <c r="H18" s="15"/>
      <c r="I18" s="15"/>
      <c r="J18" s="15"/>
      <c r="K18" s="15"/>
      <c r="L18"/>
    </row>
    <row r="19" spans="2:22" ht="29.4" customHeight="1" thickBot="1" x14ac:dyDescent="0.35">
      <c r="B19" s="148" t="s">
        <v>101</v>
      </c>
      <c r="C19" s="148"/>
      <c r="D19" s="148"/>
      <c r="E19" s="148"/>
      <c r="F19" s="148"/>
      <c r="G19" s="148"/>
      <c r="H19" s="148"/>
      <c r="I19" s="148"/>
      <c r="J19" s="148"/>
      <c r="K19" s="148"/>
      <c r="L19" s="148"/>
      <c r="S19" s="17"/>
      <c r="T19" s="17"/>
      <c r="U19" s="17"/>
      <c r="V19" s="17"/>
    </row>
    <row r="20" spans="2:22" ht="20.100000000000001" customHeight="1" thickTop="1" x14ac:dyDescent="0.3">
      <c r="S20" s="17"/>
      <c r="T20" s="17"/>
      <c r="U20" s="17"/>
      <c r="V20" s="17"/>
    </row>
    <row r="21" spans="2:22" ht="24" customHeight="1" thickBot="1" x14ac:dyDescent="0.35">
      <c r="B21" s="52"/>
      <c r="C21" s="52"/>
      <c r="D21" s="10" t="str" cm="1">
        <f t="array" aca="1" ref="D21:D25" ca="1">_xlfn.CHOOSECOLS(_xlfn.ANCHORARRAY('Categories (expenses)'!N2),1)</f>
        <v>Net deposit in SSPN</v>
      </c>
      <c r="E21" s="52"/>
      <c r="F21" s="60" cm="1">
        <f t="array" aca="1" ref="F21:F25" ca="1">_xlfn.CHOOSECOLS(_xlfn.ANCHORARRAY('Categories (expenses)'!N2),2)</f>
        <v>5000</v>
      </c>
      <c r="G21" s="52"/>
      <c r="H21" s="52"/>
      <c r="I21" s="52"/>
      <c r="J21" s="10" t="str" cm="1">
        <f t="array" aca="1" ref="J21:J24" ca="1">_xlfn.CHOOSECOLS(_xlfn.ANCHORARRAY('Categories (expenses)'!Q2),1)</f>
        <v>PRS</v>
      </c>
      <c r="K21" s="52"/>
      <c r="L21" s="60" cm="1">
        <f t="array" aca="1" ref="L21:L24" ca="1">_xlfn.CHOOSECOLS(_xlfn.ANCHORARRAY('Categories (expenses)'!Q2),2)</f>
        <v>3000</v>
      </c>
      <c r="S21" s="17"/>
      <c r="T21" s="17"/>
      <c r="U21" s="17"/>
      <c r="V21" s="17"/>
    </row>
    <row r="22" spans="2:22" ht="44.4" customHeight="1" thickBot="1" x14ac:dyDescent="0.35">
      <c r="B22" s="52"/>
      <c r="C22" s="52"/>
      <c r="D22" s="10" t="str">
        <f ca="1"/>
        <v>EPF</v>
      </c>
      <c r="E22" s="52"/>
      <c r="F22" s="60">
        <f ca="1"/>
        <v>4000</v>
      </c>
      <c r="G22" s="52"/>
      <c r="H22" s="52"/>
      <c r="I22" s="52"/>
      <c r="J22" s="10" t="str">
        <f ca="1"/>
        <v>Education and medical insurance</v>
      </c>
      <c r="K22" s="52"/>
      <c r="L22" s="60">
        <f ca="1"/>
        <v>3000</v>
      </c>
    </row>
    <row r="23" spans="2:22" ht="25.2" customHeight="1" thickBot="1" x14ac:dyDescent="0.35">
      <c r="B23" s="52"/>
      <c r="C23" s="52"/>
      <c r="D23" s="10" t="str">
        <f ca="1"/>
        <v>Kindergarden (6yo and below)</v>
      </c>
      <c r="E23" s="52"/>
      <c r="F23" s="60">
        <f ca="1"/>
        <v>3000</v>
      </c>
      <c r="G23" s="52"/>
      <c r="H23" s="52"/>
      <c r="I23" s="52"/>
      <c r="J23" s="10" t="str">
        <f ca="1"/>
        <v>Lifestyle(books/personal smart device/sports equipment/internet bill)</v>
      </c>
      <c r="K23" s="52"/>
      <c r="L23" s="60">
        <f ca="1"/>
        <v>2500</v>
      </c>
    </row>
    <row r="24" spans="2:22" ht="26.4" customHeight="1" thickBot="1" x14ac:dyDescent="0.35">
      <c r="B24" s="52"/>
      <c r="C24" s="52"/>
      <c r="D24" s="10" t="str">
        <f ca="1"/>
        <v>Life Insurance</v>
      </c>
      <c r="E24" s="52"/>
      <c r="F24" s="60">
        <f ca="1"/>
        <v>3000</v>
      </c>
      <c r="G24" s="52"/>
      <c r="H24" s="52"/>
      <c r="I24" s="52"/>
      <c r="J24" s="10" t="str">
        <f ca="1"/>
        <v>Contribution to SOCSO</v>
      </c>
      <c r="K24" s="52"/>
      <c r="L24" s="60">
        <f ca="1"/>
        <v>350</v>
      </c>
    </row>
    <row r="25" spans="2:22" ht="30" customHeight="1" thickBot="1" x14ac:dyDescent="0.35">
      <c r="B25" s="52"/>
      <c r="C25" s="52"/>
      <c r="D25" s="10" t="str">
        <f ca="1"/>
        <v>PRS</v>
      </c>
      <c r="E25" s="52"/>
      <c r="F25" s="60">
        <f ca="1"/>
        <v>3000</v>
      </c>
      <c r="G25" s="52"/>
      <c r="H25" s="52"/>
      <c r="I25" s="52"/>
      <c r="J25" s="10"/>
      <c r="K25" s="52"/>
      <c r="L25" s="60"/>
    </row>
    <row r="26" spans="2:22" ht="24.9" customHeight="1" thickBot="1" x14ac:dyDescent="0.35">
      <c r="B26" s="52"/>
      <c r="C26" s="52"/>
      <c r="D26" s="10"/>
      <c r="E26" s="52"/>
      <c r="F26" s="60"/>
      <c r="G26" s="52"/>
      <c r="H26" s="52"/>
      <c r="I26" s="52"/>
      <c r="J26" s="10"/>
      <c r="K26" s="52"/>
      <c r="L26" s="60"/>
    </row>
    <row r="27" spans="2:22" ht="34.200000000000003" customHeight="1" thickBot="1" x14ac:dyDescent="0.35">
      <c r="B27" s="52"/>
      <c r="C27" s="52"/>
      <c r="D27" s="10"/>
      <c r="E27" s="52"/>
      <c r="F27" s="60"/>
      <c r="G27" s="52"/>
      <c r="H27" s="52"/>
      <c r="I27" s="52"/>
      <c r="J27" s="10"/>
      <c r="K27" s="52"/>
      <c r="L27" s="60"/>
    </row>
    <row r="28" spans="2:22" ht="30.6" customHeight="1" thickBot="1" x14ac:dyDescent="0.35">
      <c r="B28" s="52"/>
      <c r="C28" s="52"/>
      <c r="D28" s="10"/>
      <c r="E28" s="52"/>
      <c r="F28" s="60"/>
      <c r="G28" s="52"/>
      <c r="H28" s="52"/>
      <c r="I28" s="52"/>
      <c r="J28" s="10"/>
      <c r="K28" s="52"/>
      <c r="L28" s="60"/>
    </row>
    <row r="29" spans="2:22" ht="24.9" customHeight="1" x14ac:dyDescent="0.3">
      <c r="D29" s="13"/>
      <c r="F29" s="43"/>
      <c r="J29" s="13"/>
      <c r="L29" s="43"/>
    </row>
    <row r="30" spans="2:22" ht="24.9" customHeight="1" x14ac:dyDescent="0.3">
      <c r="D30" s="13"/>
      <c r="F30" s="43"/>
      <c r="J30" s="13"/>
      <c r="L30" s="43"/>
    </row>
    <row r="31" spans="2:22" ht="21" customHeight="1" x14ac:dyDescent="0.3">
      <c r="B31" s="18"/>
      <c r="C31" s="18"/>
      <c r="D31" s="42"/>
      <c r="E31" s="18"/>
      <c r="F31" s="44"/>
      <c r="G31" s="18"/>
      <c r="H31" s="18"/>
      <c r="I31" s="18"/>
      <c r="J31" s="42"/>
      <c r="K31" s="18"/>
      <c r="L31" s="44"/>
    </row>
    <row r="32" spans="2:22" ht="20.100000000000001" customHeight="1" x14ac:dyDescent="0.3">
      <c r="D32" s="13"/>
      <c r="F32" s="43"/>
      <c r="J32" s="13"/>
      <c r="L32" s="43"/>
    </row>
    <row r="33" spans="2:18" ht="34.799999999999997" customHeight="1" thickBot="1" x14ac:dyDescent="0.35">
      <c r="B33" s="148" t="s">
        <v>80</v>
      </c>
      <c r="C33" s="148"/>
      <c r="D33" s="148"/>
      <c r="E33" s="148"/>
      <c r="F33" s="148"/>
      <c r="G33" s="148"/>
      <c r="H33" s="148"/>
      <c r="I33" s="148"/>
      <c r="J33" s="148"/>
      <c r="K33" s="148"/>
      <c r="L33" s="148"/>
    </row>
    <row r="34" spans="2:18" ht="20.100000000000001" customHeight="1" thickTop="1" x14ac:dyDescent="0.3"/>
    <row r="35" spans="2:18" ht="20.100000000000001" customHeight="1" thickBot="1" x14ac:dyDescent="0.35">
      <c r="B35" s="156" t="s">
        <v>93</v>
      </c>
      <c r="C35" s="156"/>
      <c r="D35" s="156"/>
      <c r="E35" s="19"/>
      <c r="F35" s="58">
        <f>SUM(F12:F17,L12:L17)</f>
        <v>15000</v>
      </c>
      <c r="G35" s="20"/>
      <c r="H35" s="21"/>
      <c r="I35" s="21"/>
      <c r="J35" s="21"/>
      <c r="K35" s="19"/>
      <c r="L35"/>
      <c r="P35" s="32" t="str" cm="1">
        <f t="array" ref="P35:R46">Tax_Payable_Table[#All]</f>
        <v>Tax Bracket</v>
      </c>
      <c r="Q35" s="33" t="str">
        <v>Tax Rate</v>
      </c>
      <c r="R35" s="34" t="str">
        <v>Taxes</v>
      </c>
    </row>
    <row r="36" spans="2:18" ht="20.100000000000001" customHeight="1" thickBot="1" x14ac:dyDescent="0.35">
      <c r="B36" s="156" t="s">
        <v>94</v>
      </c>
      <c r="C36" s="156"/>
      <c r="D36" s="156"/>
      <c r="E36" s="22"/>
      <c r="F36" s="58">
        <f>SUM(Expenses_Categories[Tax Relief])</f>
        <v>24150</v>
      </c>
      <c r="H36" s="23"/>
      <c r="I36" s="23"/>
      <c r="J36" s="23"/>
      <c r="K36" s="23"/>
      <c r="P36" s="35">
        <v>5000</v>
      </c>
      <c r="Q36" s="36">
        <v>0</v>
      </c>
      <c r="R36" s="37">
        <v>0</v>
      </c>
    </row>
    <row r="37" spans="2:18" ht="20.100000000000001" customHeight="1" x14ac:dyDescent="0.35">
      <c r="B37"/>
      <c r="C37"/>
      <c r="D37"/>
      <c r="E37"/>
      <c r="F37" s="61"/>
      <c r="G37"/>
      <c r="H37"/>
      <c r="I37"/>
      <c r="J37"/>
      <c r="K37"/>
      <c r="L37"/>
      <c r="P37" s="35">
        <v>20000</v>
      </c>
      <c r="Q37" s="36">
        <v>0.01</v>
      </c>
      <c r="R37" s="37">
        <v>150</v>
      </c>
    </row>
    <row r="38" spans="2:18" ht="20.100000000000001" customHeight="1" thickBot="1" x14ac:dyDescent="0.35">
      <c r="B38" s="156" t="s">
        <v>77</v>
      </c>
      <c r="C38" s="156"/>
      <c r="D38" s="156"/>
      <c r="E38"/>
      <c r="F38" s="58">
        <f>SUM(F35:F36)</f>
        <v>39150</v>
      </c>
      <c r="G38"/>
      <c r="H38"/>
      <c r="I38"/>
      <c r="J38"/>
      <c r="K38"/>
      <c r="L38"/>
      <c r="P38" s="35">
        <v>35000</v>
      </c>
      <c r="Q38" s="36">
        <v>0.03</v>
      </c>
      <c r="R38" s="37">
        <v>450</v>
      </c>
    </row>
    <row r="39" spans="2:18" ht="20.100000000000001" customHeight="1" thickBot="1" x14ac:dyDescent="0.35">
      <c r="B39" s="156" t="s">
        <v>61</v>
      </c>
      <c r="C39" s="156"/>
      <c r="D39" s="156"/>
      <c r="E39"/>
      <c r="F39" s="58">
        <f>F9-F38</f>
        <v>160850</v>
      </c>
      <c r="G39"/>
      <c r="H39"/>
      <c r="I39"/>
      <c r="J39"/>
      <c r="K39"/>
      <c r="L39"/>
      <c r="P39" s="35">
        <v>50000</v>
      </c>
      <c r="Q39" s="36">
        <v>0.06</v>
      </c>
      <c r="R39" s="37">
        <v>900</v>
      </c>
    </row>
    <row r="40" spans="2:18" ht="20.100000000000001" customHeight="1" x14ac:dyDescent="0.3">
      <c r="B40" s="13"/>
      <c r="C40" s="13"/>
      <c r="D40" s="13"/>
      <c r="P40" s="35">
        <v>70000</v>
      </c>
      <c r="Q40" s="36">
        <v>0.11</v>
      </c>
      <c r="R40" s="37">
        <v>2200</v>
      </c>
    </row>
    <row r="41" spans="2:18" ht="20.100000000000001" customHeight="1" thickBot="1" x14ac:dyDescent="0.35">
      <c r="B41" s="156" t="s">
        <v>78</v>
      </c>
      <c r="C41" s="156"/>
      <c r="D41" s="156"/>
      <c r="F41" s="29">
        <f>Tax_Payable_Table[[#Totals],[Taxes]]</f>
        <v>26112.5</v>
      </c>
      <c r="P41" s="35">
        <v>100000</v>
      </c>
      <c r="Q41" s="36">
        <v>0.19</v>
      </c>
      <c r="R41" s="37">
        <v>5700</v>
      </c>
    </row>
    <row r="42" spans="2:18" ht="20.100000000000001" customHeight="1" thickBot="1" x14ac:dyDescent="0.35">
      <c r="B42" s="156" t="s">
        <v>95</v>
      </c>
      <c r="C42" s="156"/>
      <c r="D42" s="156"/>
      <c r="F42" s="62">
        <f>F41/F39</f>
        <v>0.16234069008392912</v>
      </c>
      <c r="P42" s="35">
        <v>400000</v>
      </c>
      <c r="Q42" s="36">
        <v>0.25</v>
      </c>
      <c r="R42" s="37">
        <v>16712.5</v>
      </c>
    </row>
    <row r="43" spans="2:18" ht="20.100000000000001" customHeight="1" x14ac:dyDescent="0.3">
      <c r="P43" s="35">
        <v>600000</v>
      </c>
      <c r="Q43" s="36">
        <v>0.26</v>
      </c>
      <c r="R43" s="37">
        <v>0</v>
      </c>
    </row>
    <row r="44" spans="2:18" ht="20.100000000000001" customHeight="1" x14ac:dyDescent="0.3">
      <c r="P44" s="35">
        <v>2000000</v>
      </c>
      <c r="Q44" s="36">
        <v>0.28000000000000003</v>
      </c>
      <c r="R44" s="37">
        <v>0</v>
      </c>
    </row>
    <row r="45" spans="2:18" ht="20.100000000000001" customHeight="1" thickBot="1" x14ac:dyDescent="0.35">
      <c r="P45" s="38" t="str">
        <v>&gt;2000000</v>
      </c>
      <c r="Q45" s="36">
        <v>0.3</v>
      </c>
      <c r="R45" s="37">
        <v>0</v>
      </c>
    </row>
    <row r="46" spans="2:18" ht="20.100000000000001" customHeight="1" thickTop="1" x14ac:dyDescent="0.3">
      <c r="P46" s="39" t="str">
        <v>Total</v>
      </c>
      <c r="Q46" s="40">
        <v>0</v>
      </c>
      <c r="R46" s="41">
        <v>26112.5</v>
      </c>
    </row>
    <row r="51" spans="13:16" ht="20.100000000000001" customHeight="1" x14ac:dyDescent="0.3">
      <c r="M51" s="24"/>
    </row>
    <row r="52" spans="13:16" ht="20.100000000000001" customHeight="1" x14ac:dyDescent="0.3">
      <c r="M52" s="24"/>
      <c r="N52" s="24"/>
      <c r="O52" s="24"/>
      <c r="P52" s="24"/>
    </row>
    <row r="53" spans="13:16" ht="20.100000000000001" customHeight="1" x14ac:dyDescent="0.3">
      <c r="M53" s="24"/>
      <c r="N53" s="24"/>
      <c r="O53" s="24"/>
      <c r="P53" s="24"/>
    </row>
    <row r="54" spans="13:16" ht="20.100000000000001" customHeight="1" x14ac:dyDescent="0.3">
      <c r="M54" s="24"/>
      <c r="N54" s="24"/>
      <c r="O54" s="24"/>
      <c r="P54" s="24"/>
    </row>
    <row r="55" spans="13:16" ht="20.100000000000001" customHeight="1" x14ac:dyDescent="0.3">
      <c r="M55" s="24"/>
      <c r="N55" s="25"/>
      <c r="O55" s="24"/>
      <c r="P55" s="24"/>
    </row>
    <row r="56" spans="13:16" ht="20.100000000000001" customHeight="1" x14ac:dyDescent="0.3">
      <c r="M56" s="24"/>
      <c r="N56" s="25"/>
      <c r="O56" s="24"/>
      <c r="P56" s="24"/>
    </row>
    <row r="57" spans="13:16" ht="20.100000000000001" customHeight="1" x14ac:dyDescent="0.3">
      <c r="M57" s="24"/>
      <c r="N57" s="24"/>
      <c r="O57" s="24"/>
      <c r="P57" s="24"/>
    </row>
    <row r="58" spans="13:16" ht="20.100000000000001" customHeight="1" x14ac:dyDescent="0.3">
      <c r="M58" s="24"/>
      <c r="N58" s="24"/>
      <c r="O58" s="24"/>
      <c r="P58" s="24"/>
    </row>
    <row r="59" spans="13:16" ht="20.100000000000001" customHeight="1" x14ac:dyDescent="0.3">
      <c r="M59" s="24"/>
      <c r="N59" s="24"/>
      <c r="O59" s="24"/>
      <c r="P59" s="24"/>
    </row>
    <row r="60" spans="13:16" ht="20.100000000000001" customHeight="1" x14ac:dyDescent="0.3">
      <c r="M60" s="24"/>
      <c r="N60" s="24"/>
      <c r="O60" s="24"/>
      <c r="P60" s="24"/>
    </row>
    <row r="61" spans="13:16" ht="20.100000000000001" customHeight="1" x14ac:dyDescent="0.3">
      <c r="M61" s="24"/>
      <c r="N61" s="24"/>
      <c r="O61" s="24"/>
      <c r="P61" s="24"/>
    </row>
    <row r="62" spans="13:16" ht="20.100000000000001" customHeight="1" x14ac:dyDescent="0.3">
      <c r="M62" s="26"/>
      <c r="N62" s="24"/>
      <c r="O62" s="24"/>
      <c r="P62" s="24"/>
    </row>
  </sheetData>
  <sheetProtection algorithmName="SHA-512" hashValue="Qa9ZP2XvNcERi6Mj0CWlvNxWtfP9vD3K7l3oZBebgruPfrM3u3SVjLmtTL9xwhc6RF4JzXpOlrmO+z8etV4xDA==" saltValue="vWvgQmkHWUPsQneHJMGEyg==" spinCount="100000" sheet="1" objects="1" scenarios="1" selectLockedCells="1"/>
  <mergeCells count="12">
    <mergeCell ref="B3:L3"/>
    <mergeCell ref="B35:D35"/>
    <mergeCell ref="B36:D36"/>
    <mergeCell ref="D5:F5"/>
    <mergeCell ref="J5:L5"/>
    <mergeCell ref="B19:L19"/>
    <mergeCell ref="B41:D41"/>
    <mergeCell ref="B42:D42"/>
    <mergeCell ref="B38:D38"/>
    <mergeCell ref="B39:D39"/>
    <mergeCell ref="B7:L7"/>
    <mergeCell ref="B33:L33"/>
  </mergeCells>
  <conditionalFormatting sqref="F21:F32">
    <cfRule type="cellIs" dxfId="1" priority="2" operator="greaterThan">
      <formula>0</formula>
    </cfRule>
  </conditionalFormatting>
  <conditionalFormatting sqref="L21:L32">
    <cfRule type="cellIs" dxfId="0" priority="1" operator="greaterThan">
      <formula>0</formula>
    </cfRule>
  </conditionalFormatting>
  <dataValidations count="4">
    <dataValidation type="whole" showInputMessage="1" showErrorMessage="1" errorTitle="Error" error="Number should be between 0 and 20!_x000a_" promptTitle="Input Note" prompt="You can change the number in cell directly or use the sping box. Number must be between 0 and 20_x000a_" sqref="J16:J17 J12:J14" xr:uid="{022E4843-3D03-4141-BBD5-4B3245EF7719}">
      <formula1>0</formula1>
      <formula2>20</formula2>
    </dataValidation>
    <dataValidation type="list" allowBlank="1" showInputMessage="1" showErrorMessage="1" sqref="D12 D15:D16" xr:uid="{CD00055B-A6BF-4327-ADB9-594E330C0C83}">
      <formula1>"Yes,No"</formula1>
    </dataValidation>
    <dataValidation type="list" allowBlank="1" showInputMessage="1" showErrorMessage="1" sqref="D13" xr:uid="{DE106B2E-DA01-4D5C-9167-04648B4BCCBC}">
      <formula1>"Single,Married,Divorced"</formula1>
    </dataValidation>
    <dataValidation type="whole" allowBlank="1" showInputMessage="1" showErrorMessage="1" errorTitle="Error!" error="Value should be not greater than 4000!" promptTitle="Input a whole number" prompt="Not greater than 4000" sqref="F17" xr:uid="{9896AEEC-36C4-4950-8CF7-A9E79D3802EE}">
      <formula1>0</formula1>
      <formula2>4000</formula2>
    </dataValidation>
  </dataValidations>
  <pageMargins left="0.70866141732283472" right="0.70866141732283472" top="0.74803149606299213" bottom="0.74803149606299213" header="0.31496062992125984" footer="0.31496062992125984"/>
  <pageSetup paperSize="8" fitToWidth="0" fitToHeight="0" orientation="landscape" r:id="rId1"/>
  <rowBreaks count="1" manualBreakCount="1">
    <brk id="17" max="16383" man="1"/>
  </rowBreaks>
  <colBreaks count="1" manualBreakCount="1">
    <brk id="1" max="1048575" man="1"/>
  </colBreaks>
  <drawing r:id="rId2"/>
  <legacyDrawing r:id="rId3"/>
  <controls>
    <mc:AlternateContent xmlns:mc="http://schemas.openxmlformats.org/markup-compatibility/2006">
      <mc:Choice Requires="x14">
        <control shapeId="6155" r:id="rId4" name="TaxBracket">
          <controlPr defaultSize="0" autoLine="0" r:id="rId5">
            <anchor moveWithCells="1">
              <from>
                <xdr:col>13</xdr:col>
                <xdr:colOff>83820</xdr:colOff>
                <xdr:row>39</xdr:row>
                <xdr:rowOff>22860</xdr:rowOff>
              </from>
              <to>
                <xdr:col>14</xdr:col>
                <xdr:colOff>754380</xdr:colOff>
                <xdr:row>41</xdr:row>
                <xdr:rowOff>38100</xdr:rowOff>
              </to>
            </anchor>
          </controlPr>
        </control>
      </mc:Choice>
      <mc:Fallback>
        <control shapeId="6155" r:id="rId4" name="TaxBracket"/>
      </mc:Fallback>
    </mc:AlternateContent>
    <mc:AlternateContent xmlns:mc="http://schemas.openxmlformats.org/markup-compatibility/2006">
      <mc:Choice Requires="x14">
        <control shapeId="6149" r:id="rId6" name="Spinner 5">
          <controlPr defaultSize="0" autoPict="0">
            <anchor moveWithCells="1" sizeWithCells="1">
              <from>
                <xdr:col>9</xdr:col>
                <xdr:colOff>708660</xdr:colOff>
                <xdr:row>12</xdr:row>
                <xdr:rowOff>7620</xdr:rowOff>
              </from>
              <to>
                <xdr:col>9</xdr:col>
                <xdr:colOff>891540</xdr:colOff>
                <xdr:row>12</xdr:row>
                <xdr:rowOff>381000</xdr:rowOff>
              </to>
            </anchor>
          </controlPr>
        </control>
      </mc:Choice>
    </mc:AlternateContent>
    <mc:AlternateContent xmlns:mc="http://schemas.openxmlformats.org/markup-compatibility/2006">
      <mc:Choice Requires="x14">
        <control shapeId="6150" r:id="rId7" name="Spinner 6">
          <controlPr defaultSize="0" autoPict="0">
            <anchor moveWithCells="1" sizeWithCells="1">
              <from>
                <xdr:col>9</xdr:col>
                <xdr:colOff>701040</xdr:colOff>
                <xdr:row>13</xdr:row>
                <xdr:rowOff>7620</xdr:rowOff>
              </from>
              <to>
                <xdr:col>9</xdr:col>
                <xdr:colOff>876300</xdr:colOff>
                <xdr:row>13</xdr:row>
                <xdr:rowOff>381000</xdr:rowOff>
              </to>
            </anchor>
          </controlPr>
        </control>
      </mc:Choice>
    </mc:AlternateContent>
    <mc:AlternateContent xmlns:mc="http://schemas.openxmlformats.org/markup-compatibility/2006">
      <mc:Choice Requires="x14">
        <control shapeId="6151" r:id="rId8" name="Spinner 7">
          <controlPr defaultSize="0" autoPict="0">
            <anchor moveWithCells="1" sizeWithCells="1">
              <from>
                <xdr:col>9</xdr:col>
                <xdr:colOff>708660</xdr:colOff>
                <xdr:row>15</xdr:row>
                <xdr:rowOff>0</xdr:rowOff>
              </from>
              <to>
                <xdr:col>9</xdr:col>
                <xdr:colOff>883920</xdr:colOff>
                <xdr:row>15</xdr:row>
                <xdr:rowOff>373380</xdr:rowOff>
              </to>
            </anchor>
          </controlPr>
        </control>
      </mc:Choice>
    </mc:AlternateContent>
    <mc:AlternateContent xmlns:mc="http://schemas.openxmlformats.org/markup-compatibility/2006">
      <mc:Choice Requires="x14">
        <control shapeId="6152" r:id="rId9" name="Spinner 8">
          <controlPr defaultSize="0" autoPict="0">
            <anchor moveWithCells="1" sizeWithCells="1">
              <from>
                <xdr:col>9</xdr:col>
                <xdr:colOff>708660</xdr:colOff>
                <xdr:row>16</xdr:row>
                <xdr:rowOff>7620</xdr:rowOff>
              </from>
              <to>
                <xdr:col>9</xdr:col>
                <xdr:colOff>876300</xdr:colOff>
                <xdr:row>17</xdr:row>
                <xdr:rowOff>15240</xdr:rowOff>
              </to>
            </anchor>
          </controlPr>
        </control>
      </mc:Choice>
    </mc:AlternateContent>
    <mc:AlternateContent xmlns:mc="http://schemas.openxmlformats.org/markup-compatibility/2006">
      <mc:Choice Requires="x14">
        <control shapeId="6148" r:id="rId10" name="Spinner 4">
          <controlPr defaultSize="0" autoPict="0">
            <anchor moveWithCells="1" sizeWithCells="1">
              <from>
                <xdr:col>9</xdr:col>
                <xdr:colOff>708660</xdr:colOff>
                <xdr:row>11</xdr:row>
                <xdr:rowOff>0</xdr:rowOff>
              </from>
              <to>
                <xdr:col>9</xdr:col>
                <xdr:colOff>883920</xdr:colOff>
                <xdr:row>11</xdr:row>
                <xdr:rowOff>373380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18332B9-C92C-4F81-9DC4-42A072B9055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vt:i4>
      </vt:variant>
    </vt:vector>
  </HeadingPairs>
  <TitlesOfParts>
    <vt:vector size="23" baseType="lpstr">
      <vt:lpstr>Home</vt:lpstr>
      <vt:lpstr>Tax Summary</vt:lpstr>
      <vt:lpstr>Tax Report Calculator</vt:lpstr>
      <vt:lpstr>Categories (All)</vt:lpstr>
      <vt:lpstr>Expenses (2023)</vt:lpstr>
      <vt:lpstr>Dashboard (Expenses)</vt:lpstr>
      <vt:lpstr>Pivot Tables</vt:lpstr>
      <vt:lpstr>Categories (expenses)</vt:lpstr>
      <vt:lpstr>Categories (Toggle)</vt:lpstr>
      <vt:lpstr>Tax Calculator</vt:lpstr>
      <vt:lpstr>Tables (Tax Relief)</vt:lpstr>
      <vt:lpstr>Input Form</vt:lpstr>
      <vt:lpstr>'Tax Report Calculator'!Annual_withdrawal_rate</vt:lpstr>
      <vt:lpstr>Annual_withdrawal_rate</vt:lpstr>
      <vt:lpstr>'Tax Report Calculator'!cash_from_downsize</vt:lpstr>
      <vt:lpstr>cash_from_downsize</vt:lpstr>
      <vt:lpstr>'Tax Report Calculator'!Current_investment_portfolio</vt:lpstr>
      <vt:lpstr>Current_investment_portfolio</vt:lpstr>
      <vt:lpstr>'Tax Report Calculator'!min_retire_age</vt:lpstr>
      <vt:lpstr>min_retire_age</vt:lpstr>
      <vt:lpstr>'Tax Report Calculator'!Target_retirement_age</vt:lpstr>
      <vt:lpstr>Target_retirement_age</vt:lpstr>
      <vt:lpstr>Tax_Deductions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Gan WH</dc:creator>
  <cp:lastModifiedBy>Pang Kou Yi</cp:lastModifiedBy>
  <cp:lastPrinted>2024-01-31T16:03:28Z</cp:lastPrinted>
  <dcterms:created xsi:type="dcterms:W3CDTF">2015-06-05T18:17:20Z</dcterms:created>
  <dcterms:modified xsi:type="dcterms:W3CDTF">2024-01-31T16:05:18Z</dcterms:modified>
</cp:coreProperties>
</file>